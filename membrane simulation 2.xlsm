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FL\Documents\"/>
    </mc:Choice>
  </mc:AlternateContent>
  <xr:revisionPtr revIDLastSave="0" documentId="13_ncr:1_{EB946BFA-5B7E-40CA-B5AD-E5EAD6611712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solver_adj" localSheetId="0" hidden="1">Sheet1!$E$4,Sheet1!$E$5,Sheet1!$E$6</definedName>
    <definedName name="solver_adj" localSheetId="1" hidden="1">Sheet2!$E$4,Sheet2!$E$5,Sheet2!$E$6</definedName>
    <definedName name="solver_adj" localSheetId="2" hidden="1">Sheet3!$E$4,Sheet3!$E$5,Sheet3!$E$6</definedName>
    <definedName name="solver_cvg" localSheetId="0" hidden="1">0.0000000001</definedName>
    <definedName name="solver_drv" localSheetId="0" hidden="1">2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1" localSheetId="0" hidden="1">Sheet1!$F$4</definedName>
    <definedName name="solver_lhs2" localSheetId="0" hidden="1">Sheet1!$F$5</definedName>
    <definedName name="solver_lhs3" localSheetId="0" hidden="1">Sheet1!$F$6</definedName>
    <definedName name="solver_lhs4" localSheetId="0" hidden="1">Sheet1!$F$6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Sheet1!$G$7</definedName>
    <definedName name="solver_opt" localSheetId="1" hidden="1">Sheet2!$G$7</definedName>
    <definedName name="solver_opt" localSheetId="2" hidden="1">Sheet3!$G$7</definedName>
    <definedName name="solver_pre" localSheetId="0" hidden="1">0.00000000001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200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typ" localSheetId="1" hidden="1">2</definedName>
    <definedName name="solver_typ" localSheetId="2" hidden="1">2</definedName>
    <definedName name="solver_val" localSheetId="0" hidden="1">0</definedName>
    <definedName name="solver_val" localSheetId="1" hidden="1">0</definedName>
    <definedName name="solver_val" localSheetId="2" hidden="1">0</definedName>
    <definedName name="solver_ver" localSheetId="0" hidden="1">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2" l="1"/>
  <c r="C8" i="1"/>
  <c r="H15" i="2"/>
  <c r="M26" i="2"/>
  <c r="M27" i="1"/>
  <c r="O26" i="3"/>
  <c r="N26" i="3"/>
  <c r="M26" i="3"/>
  <c r="R24" i="3"/>
  <c r="J15" i="3"/>
  <c r="I15" i="3"/>
  <c r="H15" i="3"/>
  <c r="J14" i="3"/>
  <c r="I14" i="3"/>
  <c r="H14" i="3"/>
  <c r="J9" i="3"/>
  <c r="D9" i="3"/>
  <c r="J8" i="3"/>
  <c r="E8" i="3"/>
  <c r="C8" i="3"/>
  <c r="F8" i="3" s="1"/>
  <c r="E7" i="3"/>
  <c r="D7" i="3"/>
  <c r="B4" i="3"/>
  <c r="B5" i="3" s="1"/>
  <c r="H15" i="1"/>
  <c r="O27" i="1"/>
  <c r="N27" i="1"/>
  <c r="M26" i="1"/>
  <c r="B6" i="3" l="1"/>
  <c r="D8" i="3"/>
  <c r="H3" i="3"/>
  <c r="C14" i="1"/>
  <c r="F4" i="3" l="1"/>
  <c r="F5" i="3"/>
  <c r="G5" i="3" s="1"/>
  <c r="F6" i="3"/>
  <c r="G6" i="3" s="1"/>
  <c r="F8" i="1"/>
  <c r="C4" i="2"/>
  <c r="I15" i="1"/>
  <c r="C5" i="2" s="1"/>
  <c r="J15" i="1"/>
  <c r="C6" i="2" s="1"/>
  <c r="I15" i="2"/>
  <c r="J15" i="2"/>
  <c r="I14" i="2"/>
  <c r="H14" i="2"/>
  <c r="J14" i="2"/>
  <c r="F16" i="1"/>
  <c r="O26" i="2"/>
  <c r="N26" i="2"/>
  <c r="R24" i="2"/>
  <c r="J9" i="2"/>
  <c r="D9" i="2"/>
  <c r="J8" i="2"/>
  <c r="E8" i="2"/>
  <c r="D8" i="2"/>
  <c r="E7" i="2"/>
  <c r="D7" i="2"/>
  <c r="B6" i="2"/>
  <c r="B4" i="2"/>
  <c r="B5" i="2" s="1"/>
  <c r="J14" i="1"/>
  <c r="I14" i="1"/>
  <c r="H14" i="1"/>
  <c r="H16" i="1" l="1"/>
  <c r="C3" i="2"/>
  <c r="F10" i="2" s="1"/>
  <c r="F7" i="3"/>
  <c r="G4" i="3"/>
  <c r="G7" i="3" s="1"/>
  <c r="I16" i="1"/>
  <c r="J16" i="1"/>
  <c r="H3" i="2"/>
  <c r="F4" i="2" s="1"/>
  <c r="R24" i="1"/>
  <c r="H4" i="1" l="1"/>
  <c r="H5" i="1"/>
  <c r="H6" i="1"/>
  <c r="H5" i="3"/>
  <c r="H4" i="3"/>
  <c r="H6" i="3"/>
  <c r="V24" i="2"/>
  <c r="AE24" i="2" s="1"/>
  <c r="Z23" i="2"/>
  <c r="U23" i="2"/>
  <c r="AD23" i="2" s="1"/>
  <c r="X22" i="2"/>
  <c r="AB22" i="2" s="1"/>
  <c r="AC22" i="2" s="1"/>
  <c r="Z21" i="2"/>
  <c r="U21" i="2"/>
  <c r="AD21" i="2" s="1"/>
  <c r="X20" i="2"/>
  <c r="AB20" i="2" s="1"/>
  <c r="AC20" i="2" s="1"/>
  <c r="Z19" i="2"/>
  <c r="U19" i="2"/>
  <c r="AD19" i="2" s="1"/>
  <c r="X18" i="2"/>
  <c r="AB18" i="2" s="1"/>
  <c r="AC18" i="2" s="1"/>
  <c r="Z17" i="2"/>
  <c r="U17" i="2"/>
  <c r="AD17" i="2" s="1"/>
  <c r="X16" i="2"/>
  <c r="AB16" i="2" s="1"/>
  <c r="AC16" i="2" s="1"/>
  <c r="Z15" i="2"/>
  <c r="U15" i="2"/>
  <c r="AD15" i="2" s="1"/>
  <c r="X14" i="2"/>
  <c r="AB14" i="2" s="1"/>
  <c r="AC14" i="2" s="1"/>
  <c r="Z13" i="2"/>
  <c r="U13" i="2"/>
  <c r="AD13" i="2" s="1"/>
  <c r="X12" i="2"/>
  <c r="AB12" i="2" s="1"/>
  <c r="AC12" i="2" s="1"/>
  <c r="Z11" i="2"/>
  <c r="U11" i="2"/>
  <c r="AD11" i="2" s="1"/>
  <c r="Y10" i="2"/>
  <c r="T10" i="2"/>
  <c r="V9" i="2"/>
  <c r="AE9" i="2" s="1"/>
  <c r="V8" i="2"/>
  <c r="AE8" i="2" s="1"/>
  <c r="X7" i="2"/>
  <c r="AB7" i="2" s="1"/>
  <c r="AC7" i="2" s="1"/>
  <c r="X6" i="2"/>
  <c r="AB6" i="2" s="1"/>
  <c r="AC6" i="2" s="1"/>
  <c r="V5" i="2"/>
  <c r="AE5" i="2" s="1"/>
  <c r="Y4" i="2"/>
  <c r="T4" i="2"/>
  <c r="T24" i="2"/>
  <c r="X23" i="2"/>
  <c r="AB23" i="2" s="1"/>
  <c r="AC23" i="2" s="1"/>
  <c r="U22" i="2"/>
  <c r="AD22" i="2" s="1"/>
  <c r="Z20" i="2"/>
  <c r="Z18" i="2"/>
  <c r="Z16" i="2"/>
  <c r="Z14" i="2"/>
  <c r="U12" i="2"/>
  <c r="AD12" i="2" s="1"/>
  <c r="F11" i="2"/>
  <c r="F12" i="2" s="1"/>
  <c r="T9" i="2"/>
  <c r="F16" i="2"/>
  <c r="Z24" i="2"/>
  <c r="U24" i="2"/>
  <c r="AD24" i="2" s="1"/>
  <c r="Y23" i="2"/>
  <c r="T23" i="2"/>
  <c r="V22" i="2"/>
  <c r="AE22" i="2" s="1"/>
  <c r="Y21" i="2"/>
  <c r="T21" i="2"/>
  <c r="V20" i="2"/>
  <c r="AE20" i="2" s="1"/>
  <c r="Y19" i="2"/>
  <c r="T19" i="2"/>
  <c r="V18" i="2"/>
  <c r="AE18" i="2" s="1"/>
  <c r="Y17" i="2"/>
  <c r="T17" i="2"/>
  <c r="V16" i="2"/>
  <c r="AE16" i="2" s="1"/>
  <c r="Y15" i="2"/>
  <c r="T15" i="2"/>
  <c r="V14" i="2"/>
  <c r="AE14" i="2" s="1"/>
  <c r="Y13" i="2"/>
  <c r="T13" i="2"/>
  <c r="V12" i="2"/>
  <c r="AE12" i="2" s="1"/>
  <c r="Y11" i="2"/>
  <c r="T11" i="2"/>
  <c r="X10" i="2"/>
  <c r="AB10" i="2" s="1"/>
  <c r="AC10" i="2" s="1"/>
  <c r="Z9" i="2"/>
  <c r="U9" i="2"/>
  <c r="AD9" i="2" s="1"/>
  <c r="Z8" i="2"/>
  <c r="U8" i="2"/>
  <c r="AD8" i="2" s="1"/>
  <c r="V7" i="2"/>
  <c r="AE7" i="2" s="1"/>
  <c r="V6" i="2"/>
  <c r="AE6" i="2" s="1"/>
  <c r="Z5" i="2"/>
  <c r="U5" i="2"/>
  <c r="AD5" i="2" s="1"/>
  <c r="X4" i="2"/>
  <c r="AB4" i="2" s="1"/>
  <c r="AC4" i="2" s="1"/>
  <c r="Y24" i="2"/>
  <c r="Z22" i="2"/>
  <c r="X21" i="2"/>
  <c r="AB21" i="2" s="1"/>
  <c r="AC21" i="2" s="1"/>
  <c r="U20" i="2"/>
  <c r="AD20" i="2" s="1"/>
  <c r="X19" i="2"/>
  <c r="AB19" i="2" s="1"/>
  <c r="AC19" i="2" s="1"/>
  <c r="X17" i="2"/>
  <c r="AB17" i="2" s="1"/>
  <c r="AC17" i="2" s="1"/>
  <c r="X15" i="2"/>
  <c r="AB15" i="2" s="1"/>
  <c r="AC15" i="2" s="1"/>
  <c r="Z12" i="2"/>
  <c r="X24" i="2"/>
  <c r="AB24" i="2" s="1"/>
  <c r="AC24" i="2" s="1"/>
  <c r="V23" i="2"/>
  <c r="AE23" i="2" s="1"/>
  <c r="Y22" i="2"/>
  <c r="T22" i="2"/>
  <c r="V21" i="2"/>
  <c r="AE21" i="2" s="1"/>
  <c r="Y20" i="2"/>
  <c r="T20" i="2"/>
  <c r="V19" i="2"/>
  <c r="AE19" i="2" s="1"/>
  <c r="Y18" i="2"/>
  <c r="T18" i="2"/>
  <c r="V17" i="2"/>
  <c r="AE17" i="2" s="1"/>
  <c r="Y16" i="2"/>
  <c r="T16" i="2"/>
  <c r="V15" i="2"/>
  <c r="AE15" i="2" s="1"/>
  <c r="Y14" i="2"/>
  <c r="T14" i="2"/>
  <c r="V13" i="2"/>
  <c r="AE13" i="2" s="1"/>
  <c r="Y12" i="2"/>
  <c r="T12" i="2"/>
  <c r="V11" i="2"/>
  <c r="AE11" i="2" s="1"/>
  <c r="Z10" i="2"/>
  <c r="U10" i="2"/>
  <c r="AD10" i="2" s="1"/>
  <c r="X9" i="2"/>
  <c r="AB9" i="2" s="1"/>
  <c r="AC9" i="2" s="1"/>
  <c r="X8" i="2"/>
  <c r="AB8" i="2" s="1"/>
  <c r="AC8" i="2" s="1"/>
  <c r="Y7" i="2"/>
  <c r="T7" i="2"/>
  <c r="Y6" i="2"/>
  <c r="T6" i="2"/>
  <c r="X5" i="2"/>
  <c r="AB5" i="2" s="1"/>
  <c r="AC5" i="2" s="1"/>
  <c r="Z4" i="2"/>
  <c r="U4" i="2"/>
  <c r="AD4" i="2" s="1"/>
  <c r="U18" i="2"/>
  <c r="AD18" i="2" s="1"/>
  <c r="U16" i="2"/>
  <c r="AD16" i="2" s="1"/>
  <c r="U14" i="2"/>
  <c r="AD14" i="2" s="1"/>
  <c r="X13" i="2"/>
  <c r="AB13" i="2" s="1"/>
  <c r="AC13" i="2" s="1"/>
  <c r="X11" i="2"/>
  <c r="AB11" i="2" s="1"/>
  <c r="AC11" i="2" s="1"/>
  <c r="V10" i="2"/>
  <c r="AE10" i="2" s="1"/>
  <c r="Y8" i="2"/>
  <c r="Y9" i="2"/>
  <c r="U7" i="2"/>
  <c r="AD7" i="2" s="1"/>
  <c r="U6" i="2"/>
  <c r="AD6" i="2" s="1"/>
  <c r="V4" i="2"/>
  <c r="AE4" i="2" s="1"/>
  <c r="Y5" i="2"/>
  <c r="T8" i="2"/>
  <c r="Z7" i="2"/>
  <c r="Z6" i="2"/>
  <c r="T5" i="2"/>
  <c r="F6" i="2"/>
  <c r="G6" i="2" s="1"/>
  <c r="F5" i="2"/>
  <c r="G5" i="2" s="1"/>
  <c r="G4" i="2"/>
  <c r="O26" i="1"/>
  <c r="N26" i="1"/>
  <c r="C3" i="3" l="1"/>
  <c r="I4" i="3" s="1"/>
  <c r="C4" i="3" s="1"/>
  <c r="F10" i="3" s="1"/>
  <c r="H16" i="2"/>
  <c r="H17" i="2" s="1"/>
  <c r="I16" i="2"/>
  <c r="I17" i="2" s="1"/>
  <c r="J16" i="2"/>
  <c r="J17" i="2" s="1"/>
  <c r="G7" i="2"/>
  <c r="F7" i="2"/>
  <c r="I6" i="3" l="1"/>
  <c r="C6" i="3" s="1"/>
  <c r="I5" i="3"/>
  <c r="C5" i="3" s="1"/>
  <c r="V6" i="3"/>
  <c r="U17" i="3"/>
  <c r="Y11" i="3"/>
  <c r="Y6" i="3"/>
  <c r="Z20" i="3"/>
  <c r="Y23" i="3"/>
  <c r="V7" i="3"/>
  <c r="AE7" i="3" s="1"/>
  <c r="V18" i="3"/>
  <c r="Y5" i="3"/>
  <c r="X5" i="3"/>
  <c r="T6" i="3"/>
  <c r="U18" i="3"/>
  <c r="AD18" i="3" s="1"/>
  <c r="Z24" i="3"/>
  <c r="U22" i="3"/>
  <c r="X18" i="3"/>
  <c r="AB18" i="3" s="1"/>
  <c r="AC18" i="3" s="1"/>
  <c r="F16" i="3"/>
  <c r="Y10" i="3"/>
  <c r="T18" i="3"/>
  <c r="U14" i="3"/>
  <c r="Y24" i="3"/>
  <c r="X24" i="3"/>
  <c r="AB24" i="3" s="1"/>
  <c r="AC24" i="3" s="1"/>
  <c r="X7" i="3"/>
  <c r="AB7" i="3" s="1"/>
  <c r="AC7" i="3" s="1"/>
  <c r="T23" i="3"/>
  <c r="X12" i="3"/>
  <c r="AB12" i="3" s="1"/>
  <c r="AC12" i="3" s="1"/>
  <c r="Z22" i="3"/>
  <c r="V12" i="3"/>
  <c r="Z6" i="3"/>
  <c r="U6" i="3"/>
  <c r="AD6" i="3" s="1"/>
  <c r="X15" i="3"/>
  <c r="AB15" i="3" s="1"/>
  <c r="AC15" i="3" s="1"/>
  <c r="T12" i="3"/>
  <c r="V24" i="3"/>
  <c r="AE24" i="3" s="1"/>
  <c r="X16" i="3"/>
  <c r="AB16" i="3" s="1"/>
  <c r="AC16" i="3" s="1"/>
  <c r="X6" i="3"/>
  <c r="AB6" i="3" s="1"/>
  <c r="AC6" i="3" s="1"/>
  <c r="V16" i="3"/>
  <c r="V5" i="3"/>
  <c r="AE5" i="3" s="1"/>
  <c r="Y15" i="3"/>
  <c r="V21" i="3"/>
  <c r="Z5" i="3"/>
  <c r="Z8" i="3"/>
  <c r="M27" i="3"/>
  <c r="V22" i="3"/>
  <c r="X14" i="3"/>
  <c r="AB14" i="3" s="1"/>
  <c r="AC14" i="3" s="1"/>
  <c r="Z19" i="3"/>
  <c r="T22" i="3"/>
  <c r="V14" i="3"/>
  <c r="V8" i="3"/>
  <c r="T8" i="3"/>
  <c r="U7" i="3"/>
  <c r="AD7" i="3" s="1"/>
  <c r="Y18" i="3"/>
  <c r="Y21" i="3"/>
  <c r="U12" i="3"/>
  <c r="U23" i="3"/>
  <c r="AD23" i="3" s="1"/>
  <c r="T14" i="3"/>
  <c r="Y22" i="3"/>
  <c r="Z4" i="3"/>
  <c r="Y19" i="3"/>
  <c r="Z15" i="3"/>
  <c r="V17" i="3"/>
  <c r="Z10" i="3"/>
  <c r="T4" i="3"/>
  <c r="T20" i="3"/>
  <c r="V13" i="3"/>
  <c r="X19" i="3"/>
  <c r="AB19" i="3" s="1"/>
  <c r="AC19" i="3" s="1"/>
  <c r="Y20" i="3"/>
  <c r="Y7" i="3"/>
  <c r="V20" i="3"/>
  <c r="U10" i="3"/>
  <c r="U20" i="3"/>
  <c r="AD20" i="3" s="1"/>
  <c r="T10" i="3"/>
  <c r="Y16" i="3"/>
  <c r="Z12" i="3"/>
  <c r="U5" i="3"/>
  <c r="AD5" i="3" s="1"/>
  <c r="U16" i="3"/>
  <c r="U24" i="3"/>
  <c r="Z13" i="3"/>
  <c r="T24" i="3"/>
  <c r="Y13" i="3"/>
  <c r="Y4" i="3"/>
  <c r="F11" i="3"/>
  <c r="F12" i="3" s="1"/>
  <c r="U9" i="3"/>
  <c r="AD9" i="3" s="1"/>
  <c r="V23" i="3"/>
  <c r="U13" i="3"/>
  <c r="U8" i="3"/>
  <c r="Z7" i="3"/>
  <c r="X23" i="3"/>
  <c r="AB23" i="3" s="1"/>
  <c r="AC23" i="3" s="1"/>
  <c r="T15" i="3"/>
  <c r="X22" i="3"/>
  <c r="AB22" i="3" s="1"/>
  <c r="AC22" i="3" s="1"/>
  <c r="Z17" i="3"/>
  <c r="Y17" i="3"/>
  <c r="Z9" i="3"/>
  <c r="Z21" i="3"/>
  <c r="T11" i="3"/>
  <c r="V19" i="3"/>
  <c r="T13" i="3"/>
  <c r="Z11" i="3"/>
  <c r="X13" i="3"/>
  <c r="AB13" i="3" s="1"/>
  <c r="AC13" i="3" s="1"/>
  <c r="Y8" i="3"/>
  <c r="V9" i="3"/>
  <c r="T21" i="3"/>
  <c r="T17" i="3"/>
  <c r="X11" i="3"/>
  <c r="AB11" i="3" s="1"/>
  <c r="AC11" i="3" s="1"/>
  <c r="X10" i="3"/>
  <c r="AB10" i="3" s="1"/>
  <c r="AC10" i="3" s="1"/>
  <c r="Y9" i="3"/>
  <c r="X9" i="3"/>
  <c r="AB9" i="3" s="1"/>
  <c r="AC9" i="3" s="1"/>
  <c r="Y14" i="3"/>
  <c r="X20" i="3"/>
  <c r="AB20" i="3" s="1"/>
  <c r="AC20" i="3" s="1"/>
  <c r="V15" i="3"/>
  <c r="AE15" i="3" s="1"/>
  <c r="V4" i="3"/>
  <c r="U15" i="3"/>
  <c r="U4" i="3"/>
  <c r="U21" i="3"/>
  <c r="T5" i="3"/>
  <c r="T7" i="3"/>
  <c r="X17" i="3"/>
  <c r="AB17" i="3" s="1"/>
  <c r="AC17" i="3" s="1"/>
  <c r="T19" i="3"/>
  <c r="T9" i="3"/>
  <c r="Z18" i="3"/>
  <c r="X8" i="3"/>
  <c r="AB8" i="3" s="1"/>
  <c r="AC8" i="3" s="1"/>
  <c r="X4" i="3"/>
  <c r="AB4" i="3" s="1"/>
  <c r="AC4" i="3" s="1"/>
  <c r="T16" i="3"/>
  <c r="V11" i="3"/>
  <c r="U19" i="3"/>
  <c r="Z23" i="3"/>
  <c r="Y12" i="3"/>
  <c r="Z16" i="3"/>
  <c r="U11" i="3"/>
  <c r="X21" i="3"/>
  <c r="AB21" i="3" s="1"/>
  <c r="AC21" i="3" s="1"/>
  <c r="V10" i="3"/>
  <c r="Z14" i="3"/>
  <c r="AB5" i="3"/>
  <c r="AC5" i="3" s="1"/>
  <c r="N27" i="3"/>
  <c r="O27" i="3"/>
  <c r="C14" i="3"/>
  <c r="B4" i="1"/>
  <c r="J8" i="1"/>
  <c r="J9" i="1"/>
  <c r="E8" i="1"/>
  <c r="AD15" i="3" l="1"/>
  <c r="AE9" i="3"/>
  <c r="AE13" i="3"/>
  <c r="AE8" i="3"/>
  <c r="AE23" i="3"/>
  <c r="AE14" i="3"/>
  <c r="AE22" i="3"/>
  <c r="AE21" i="3"/>
  <c r="AE6" i="3"/>
  <c r="AE20" i="3"/>
  <c r="AE17" i="3"/>
  <c r="AE16" i="3"/>
  <c r="AE12" i="3"/>
  <c r="AE11" i="3"/>
  <c r="AE19" i="3"/>
  <c r="AE10" i="3"/>
  <c r="AE4" i="3"/>
  <c r="AE18" i="3"/>
  <c r="AD11" i="3"/>
  <c r="AD19" i="3"/>
  <c r="AD4" i="3"/>
  <c r="AD13" i="3"/>
  <c r="AD24" i="3"/>
  <c r="AD22" i="3"/>
  <c r="AD17" i="3"/>
  <c r="AD21" i="3"/>
  <c r="AD8" i="3"/>
  <c r="AD10" i="3"/>
  <c r="AD12" i="3"/>
  <c r="AD14" i="3"/>
  <c r="AD16" i="3"/>
  <c r="H16" i="3"/>
  <c r="J16" i="3"/>
  <c r="I16" i="3"/>
  <c r="F11" i="1"/>
  <c r="F10" i="1"/>
  <c r="X4" i="1"/>
  <c r="AB4" i="1" s="1"/>
  <c r="U5" i="1"/>
  <c r="U24" i="1"/>
  <c r="AD24" i="1" s="1"/>
  <c r="T24" i="1"/>
  <c r="V24" i="1"/>
  <c r="X24" i="1"/>
  <c r="AB24" i="1" s="1"/>
  <c r="AC24" i="1" s="1"/>
  <c r="Y24" i="1"/>
  <c r="Z24" i="1"/>
  <c r="F12" i="1" l="1"/>
  <c r="AE24" i="1"/>
  <c r="U23" i="1"/>
  <c r="AD23" i="1" s="1"/>
  <c r="T21" i="1"/>
  <c r="U21" i="1"/>
  <c r="AD21" i="1" s="1"/>
  <c r="V21" i="1"/>
  <c r="AE21" i="1" s="1"/>
  <c r="X21" i="1"/>
  <c r="AB21" i="1" s="1"/>
  <c r="AC21" i="1" s="1"/>
  <c r="Y21" i="1"/>
  <c r="Z21" i="1"/>
  <c r="T22" i="1"/>
  <c r="U22" i="1"/>
  <c r="AD22" i="1" s="1"/>
  <c r="V22" i="1"/>
  <c r="AE22" i="1" s="1"/>
  <c r="X22" i="1"/>
  <c r="AB22" i="1" s="1"/>
  <c r="AC22" i="1" s="1"/>
  <c r="Y22" i="1"/>
  <c r="Z22" i="1"/>
  <c r="T23" i="1"/>
  <c r="V23" i="1"/>
  <c r="AE23" i="1" s="1"/>
  <c r="X23" i="1"/>
  <c r="AB23" i="1" s="1"/>
  <c r="AC23" i="1" s="1"/>
  <c r="Y23" i="1"/>
  <c r="Z23" i="1"/>
  <c r="Y6" i="1"/>
  <c r="B5" i="1"/>
  <c r="Y5" i="1"/>
  <c r="Z5" i="1"/>
  <c r="Z6" i="1"/>
  <c r="Y7" i="1"/>
  <c r="Z7" i="1"/>
  <c r="Z8" i="1"/>
  <c r="Y9" i="1"/>
  <c r="Z9" i="1"/>
  <c r="Z10" i="1"/>
  <c r="Y11" i="1"/>
  <c r="Z11" i="1"/>
  <c r="Z12" i="1"/>
  <c r="Y13" i="1"/>
  <c r="Z13" i="1"/>
  <c r="Z14" i="1"/>
  <c r="Y15" i="1"/>
  <c r="Z15" i="1"/>
  <c r="Z16" i="1"/>
  <c r="Y17" i="1"/>
  <c r="Z17" i="1"/>
  <c r="Z18" i="1"/>
  <c r="Y19" i="1"/>
  <c r="Z19" i="1"/>
  <c r="Z20" i="1"/>
  <c r="Z4" i="1"/>
  <c r="Y4" i="1"/>
  <c r="AC4" i="1"/>
  <c r="X5" i="1"/>
  <c r="AB5" i="1" s="1"/>
  <c r="AC5" i="1" s="1"/>
  <c r="X6" i="1"/>
  <c r="AB6" i="1" s="1"/>
  <c r="AC6" i="1" s="1"/>
  <c r="X7" i="1"/>
  <c r="AB7" i="1" s="1"/>
  <c r="AC7" i="1" s="1"/>
  <c r="X8" i="1"/>
  <c r="AB8" i="1" s="1"/>
  <c r="AC8" i="1" s="1"/>
  <c r="X9" i="1"/>
  <c r="AB9" i="1" s="1"/>
  <c r="AC9" i="1" s="1"/>
  <c r="X10" i="1"/>
  <c r="AB10" i="1" s="1"/>
  <c r="AC10" i="1" s="1"/>
  <c r="X11" i="1"/>
  <c r="AB11" i="1" s="1"/>
  <c r="AC11" i="1" s="1"/>
  <c r="X12" i="1"/>
  <c r="AB12" i="1" s="1"/>
  <c r="AC12" i="1" s="1"/>
  <c r="X13" i="1"/>
  <c r="AB13" i="1" s="1"/>
  <c r="AC13" i="1" s="1"/>
  <c r="X14" i="1"/>
  <c r="AB14" i="1" s="1"/>
  <c r="AC14" i="1" s="1"/>
  <c r="X15" i="1"/>
  <c r="AB15" i="1" s="1"/>
  <c r="AC15" i="1" s="1"/>
  <c r="X16" i="1"/>
  <c r="AB16" i="1" s="1"/>
  <c r="AC16" i="1" s="1"/>
  <c r="X17" i="1"/>
  <c r="AB17" i="1" s="1"/>
  <c r="AC17" i="1" s="1"/>
  <c r="X18" i="1"/>
  <c r="AB18" i="1" s="1"/>
  <c r="AC18" i="1" s="1"/>
  <c r="X19" i="1"/>
  <c r="AB19" i="1" s="1"/>
  <c r="AC19" i="1" s="1"/>
  <c r="X20" i="1"/>
  <c r="AB20" i="1" s="1"/>
  <c r="AC20" i="1" s="1"/>
  <c r="V5" i="1"/>
  <c r="AE5" i="1" s="1"/>
  <c r="V6" i="1"/>
  <c r="AE6" i="1" s="1"/>
  <c r="V7" i="1"/>
  <c r="AE7" i="1" s="1"/>
  <c r="V8" i="1"/>
  <c r="AE8" i="1" s="1"/>
  <c r="V9" i="1"/>
  <c r="AE9" i="1" s="1"/>
  <c r="V10" i="1"/>
  <c r="AE10" i="1" s="1"/>
  <c r="V11" i="1"/>
  <c r="AE11" i="1" s="1"/>
  <c r="V12" i="1"/>
  <c r="AE12" i="1" s="1"/>
  <c r="V13" i="1"/>
  <c r="AE13" i="1" s="1"/>
  <c r="V14" i="1"/>
  <c r="AE14" i="1" s="1"/>
  <c r="V15" i="1"/>
  <c r="AE15" i="1" s="1"/>
  <c r="V16" i="1"/>
  <c r="AE16" i="1" s="1"/>
  <c r="V17" i="1"/>
  <c r="AE17" i="1" s="1"/>
  <c r="V18" i="1"/>
  <c r="AE18" i="1" s="1"/>
  <c r="V19" i="1"/>
  <c r="AE19" i="1" s="1"/>
  <c r="V20" i="1"/>
  <c r="AE20" i="1" s="1"/>
  <c r="V4" i="1"/>
  <c r="AE4" i="1" s="1"/>
  <c r="AD5" i="1"/>
  <c r="U6" i="1"/>
  <c r="AD6" i="1" s="1"/>
  <c r="U7" i="1"/>
  <c r="AD7" i="1" s="1"/>
  <c r="U8" i="1"/>
  <c r="AD8" i="1" s="1"/>
  <c r="U9" i="1"/>
  <c r="AD9" i="1" s="1"/>
  <c r="U10" i="1"/>
  <c r="AD10" i="1" s="1"/>
  <c r="U11" i="1"/>
  <c r="AD11" i="1" s="1"/>
  <c r="U12" i="1"/>
  <c r="AD12" i="1" s="1"/>
  <c r="U13" i="1"/>
  <c r="AD13" i="1" s="1"/>
  <c r="U14" i="1"/>
  <c r="AD14" i="1" s="1"/>
  <c r="U15" i="1"/>
  <c r="AD15" i="1" s="1"/>
  <c r="U16" i="1"/>
  <c r="AD16" i="1" s="1"/>
  <c r="U17" i="1"/>
  <c r="AD17" i="1" s="1"/>
  <c r="U18" i="1"/>
  <c r="AD18" i="1" s="1"/>
  <c r="U19" i="1"/>
  <c r="AD19" i="1" s="1"/>
  <c r="U20" i="1"/>
  <c r="AD20" i="1" s="1"/>
  <c r="U4" i="1"/>
  <c r="AD4" i="1" s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4" i="1"/>
  <c r="D7" i="1"/>
  <c r="B6" i="1"/>
  <c r="D9" i="1"/>
  <c r="D8" i="1"/>
  <c r="H3" i="1" l="1"/>
  <c r="F5" i="1" s="1"/>
  <c r="Y20" i="1"/>
  <c r="Y18" i="1"/>
  <c r="Y16" i="1"/>
  <c r="Y14" i="1"/>
  <c r="Y12" i="1"/>
  <c r="Y10" i="1"/>
  <c r="Y8" i="1"/>
  <c r="E7" i="1"/>
  <c r="F6" i="1" l="1"/>
  <c r="G6" i="1" s="1"/>
  <c r="F4" i="1"/>
  <c r="G4" i="1" s="1"/>
  <c r="G5" i="1"/>
  <c r="G7" i="1" l="1"/>
  <c r="F7" i="1"/>
</calcChain>
</file>

<file path=xl/sharedStrings.xml><?xml version="1.0" encoding="utf-8"?>
<sst xmlns="http://schemas.openxmlformats.org/spreadsheetml/2006/main" count="186" uniqueCount="40">
  <si>
    <t>Feed flow rate</t>
  </si>
  <si>
    <t>CH4</t>
  </si>
  <si>
    <t>H2S</t>
  </si>
  <si>
    <t>CO2</t>
  </si>
  <si>
    <t>yi</t>
  </si>
  <si>
    <t>Ph</t>
  </si>
  <si>
    <t>Pl</t>
  </si>
  <si>
    <t>sum</t>
  </si>
  <si>
    <t>yi calc</t>
  </si>
  <si>
    <t>xi</t>
  </si>
  <si>
    <t>xc1</t>
  </si>
  <si>
    <t>xh2s</t>
  </si>
  <si>
    <t>xco2</t>
  </si>
  <si>
    <t>yc1</t>
  </si>
  <si>
    <t>yh2s</t>
  </si>
  <si>
    <t>yco2</t>
  </si>
  <si>
    <t>area</t>
  </si>
  <si>
    <t>cm2</t>
  </si>
  <si>
    <t>theta max</t>
  </si>
  <si>
    <t>c1</t>
  </si>
  <si>
    <t>h2s</t>
  </si>
  <si>
    <t>c02</t>
  </si>
  <si>
    <t>permeate flow rate</t>
  </si>
  <si>
    <t>retentate flow rate</t>
  </si>
  <si>
    <t>co2</t>
  </si>
  <si>
    <t>c1 loss</t>
  </si>
  <si>
    <t>c1 loss %</t>
  </si>
  <si>
    <t>h2s uptake</t>
  </si>
  <si>
    <t>co2 uptake</t>
  </si>
  <si>
    <t>permeability</t>
  </si>
  <si>
    <t>index</t>
  </si>
  <si>
    <t>theta</t>
  </si>
  <si>
    <t>feed</t>
  </si>
  <si>
    <t>outlet</t>
  </si>
  <si>
    <t>error</t>
  </si>
  <si>
    <t>removal:</t>
  </si>
  <si>
    <t>ch4</t>
  </si>
  <si>
    <t>1st membrane</t>
  </si>
  <si>
    <t>1st membrane removal</t>
  </si>
  <si>
    <t>losses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</si>
</sst>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Sheet1!$AD$3</c:f>
              <c:strCache>
                <c:ptCount val="1"/>
                <c:pt idx="0">
                  <c:v>h2s uptake</c:v>
                </c:pt>
              </c:strCache>
            </c:strRef>
          </c:tx>
          <c:marker>
            <c:symbol val="none"/>
          </c:marker>
          <c:xVal>
            <c:numRef>
              <c:f>Sheet1!$K$4:$K$15</c:f>
              <c:numCache>
                <c:formatCode>General</c:formatCode>
                <c:ptCount val="12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</c:numCache>
            </c:numRef>
          </c:xVal>
          <c:yVal>
            <c:numRef>
              <c:f>Sheet1!$P$4:$P$15</c:f>
              <c:numCache>
                <c:formatCode>General</c:formatCode>
                <c:ptCount val="12"/>
                <c:pt idx="0">
                  <c:v>0.38422235238107677</c:v>
                </c:pt>
                <c:pt idx="1">
                  <c:v>0.3572821348829075</c:v>
                </c:pt>
                <c:pt idx="2">
                  <c:v>0.32981676381913216</c:v>
                </c:pt>
                <c:pt idx="3">
                  <c:v>0.30209686073523145</c:v>
                </c:pt>
                <c:pt idx="4">
                  <c:v>0.2744318819454602</c:v>
                </c:pt>
                <c:pt idx="5">
                  <c:v>0.24715427854922964</c:v>
                </c:pt>
                <c:pt idx="6">
                  <c:v>0.22060218459489725</c:v>
                </c:pt>
                <c:pt idx="7">
                  <c:v>0.19510031894618315</c:v>
                </c:pt>
                <c:pt idx="8">
                  <c:v>0.17094107250565807</c:v>
                </c:pt>
                <c:pt idx="9">
                  <c:v>0.14836818494091333</c:v>
                </c:pt>
                <c:pt idx="10">
                  <c:v>0.12756509855947573</c:v>
                </c:pt>
                <c:pt idx="11">
                  <c:v>0.10864923232293419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34-447A-B4C2-E9EC8E04994F}"/>
            </c:ext>
          </c:extLst>
        </c:ser>
        <c:ser>
          <c:idx val="2"/>
          <c:order val="1"/>
          <c:tx>
            <c:strRef>
              <c:f>Sheet1!$AE$3</c:f>
              <c:strCache>
                <c:ptCount val="1"/>
                <c:pt idx="0">
                  <c:v>co2 uptake</c:v>
                </c:pt>
              </c:strCache>
            </c:strRef>
          </c:tx>
          <c:marker>
            <c:symbol val="none"/>
          </c:marker>
          <c:xVal>
            <c:numRef>
              <c:f>Sheet1!$K$4:$K$14</c:f>
              <c:numCache>
                <c:formatCode>General</c:formatCode>
                <c:ptCount val="11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</c:numCache>
            </c:numRef>
          </c:xVal>
          <c:yVal>
            <c:numRef>
              <c:f>Sheet1!$Q$4:$Q$14</c:f>
              <c:numCache>
                <c:formatCode>General</c:formatCode>
                <c:ptCount val="11"/>
                <c:pt idx="0">
                  <c:v>0.34840461342987405</c:v>
                </c:pt>
                <c:pt idx="1">
                  <c:v>0.34927695739431047</c:v>
                </c:pt>
                <c:pt idx="2">
                  <c:v>0.34777167128986097</c:v>
                </c:pt>
                <c:pt idx="3">
                  <c:v>0.3435110444728699</c:v>
                </c:pt>
                <c:pt idx="4">
                  <c:v>0.33619106440195573</c:v>
                </c:pt>
                <c:pt idx="5">
                  <c:v>0.32562329402718498</c:v>
                </c:pt>
                <c:pt idx="6">
                  <c:v>0.31177751458365516</c:v>
                </c:pt>
                <c:pt idx="7">
                  <c:v>0.29481256933338207</c:v>
                </c:pt>
                <c:pt idx="8">
                  <c:v>0.27508565880030805</c:v>
                </c:pt>
                <c:pt idx="9">
                  <c:v>0.25313436572070452</c:v>
                </c:pt>
                <c:pt idx="10">
                  <c:v>0.22963213832015728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34-447A-B4C2-E9EC8E049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65280"/>
        <c:axId val="186475264"/>
      </c:scatterChart>
      <c:valAx>
        <c:axId val="186465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6475264"/>
        <c:crosses val="autoZero"/>
        <c:crossBetween val="midCat"/>
      </c:valAx>
      <c:valAx>
        <c:axId val="186475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4652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H2S in permeate</c:v>
          </c:tx>
          <c:marker>
            <c:symbol val="none"/>
          </c:marker>
          <c:xVal>
            <c:numRef>
              <c:f>Sheet1!$K$4:$K$23</c:f>
              <c:numCache>
                <c:formatCode>General</c:formatCode>
                <c:ptCount val="2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  <c:pt idx="12">
                  <c:v>0.25999999999999995</c:v>
                </c:pt>
                <c:pt idx="13">
                  <c:v>0.27999999999999997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0.36000000000000004</c:v>
                </c:pt>
                <c:pt idx="18">
                  <c:v>0.38000000000000006</c:v>
                </c:pt>
                <c:pt idx="19">
                  <c:v>0.40000000000000008</c:v>
                </c:pt>
              </c:numCache>
            </c:numRef>
          </c:xVal>
          <c:yVal>
            <c:numRef>
              <c:f>Sheet1!$P$4:$P$23</c:f>
              <c:numCache>
                <c:formatCode>General</c:formatCode>
                <c:ptCount val="20"/>
                <c:pt idx="0">
                  <c:v>0.38422235238107677</c:v>
                </c:pt>
                <c:pt idx="1">
                  <c:v>0.3572821348829075</c:v>
                </c:pt>
                <c:pt idx="2">
                  <c:v>0.32981676381913216</c:v>
                </c:pt>
                <c:pt idx="3">
                  <c:v>0.30209686073523145</c:v>
                </c:pt>
                <c:pt idx="4">
                  <c:v>0.2744318819454602</c:v>
                </c:pt>
                <c:pt idx="5">
                  <c:v>0.24715427854922964</c:v>
                </c:pt>
                <c:pt idx="6">
                  <c:v>0.22060218459489725</c:v>
                </c:pt>
                <c:pt idx="7">
                  <c:v>0.19510031894618315</c:v>
                </c:pt>
                <c:pt idx="8">
                  <c:v>0.17094107250565807</c:v>
                </c:pt>
                <c:pt idx="9">
                  <c:v>0.14836818494091333</c:v>
                </c:pt>
                <c:pt idx="10">
                  <c:v>0.12756509855947573</c:v>
                </c:pt>
                <c:pt idx="11">
                  <c:v>0.10864923232293419</c:v>
                </c:pt>
                <c:pt idx="12">
                  <c:v>9.167231183762313E-2</c:v>
                </c:pt>
                <c:pt idx="13">
                  <c:v>7.6625868879803646E-2</c:v>
                </c:pt>
                <c:pt idx="14">
                  <c:v>6.3450368051999551E-2</c:v>
                </c:pt>
                <c:pt idx="15">
                  <c:v>5.2046228505910036E-2</c:v>
                </c:pt>
                <c:pt idx="16">
                  <c:v>4.2285204157714078E-2</c:v>
                </c:pt>
                <c:pt idx="17">
                  <c:v>3.4020993114009947E-2</c:v>
                </c:pt>
                <c:pt idx="18">
                  <c:v>2.7098397503010584E-2</c:v>
                </c:pt>
                <c:pt idx="19">
                  <c:v>2.1360740184202205E-2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1B-4346-99C5-4F2CC5589AB8}"/>
            </c:ext>
          </c:extLst>
        </c:ser>
        <c:ser>
          <c:idx val="2"/>
          <c:order val="1"/>
          <c:tx>
            <c:v>CO2 in permeate</c:v>
          </c:tx>
          <c:marker>
            <c:symbol val="none"/>
          </c:marker>
          <c:xVal>
            <c:numRef>
              <c:f>Sheet1!$K$4:$K$23</c:f>
              <c:numCache>
                <c:formatCode>General</c:formatCode>
                <c:ptCount val="2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  <c:pt idx="12">
                  <c:v>0.25999999999999995</c:v>
                </c:pt>
                <c:pt idx="13">
                  <c:v>0.27999999999999997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0.36000000000000004</c:v>
                </c:pt>
                <c:pt idx="18">
                  <c:v>0.38000000000000006</c:v>
                </c:pt>
                <c:pt idx="19">
                  <c:v>0.40000000000000008</c:v>
                </c:pt>
              </c:numCache>
            </c:numRef>
          </c:xVal>
          <c:yVal>
            <c:numRef>
              <c:f>Sheet1!$Q$4:$Q$23</c:f>
              <c:numCache>
                <c:formatCode>General</c:formatCode>
                <c:ptCount val="20"/>
                <c:pt idx="0">
                  <c:v>0.34840461342987405</c:v>
                </c:pt>
                <c:pt idx="1">
                  <c:v>0.34927695739431047</c:v>
                </c:pt>
                <c:pt idx="2">
                  <c:v>0.34777167128986097</c:v>
                </c:pt>
                <c:pt idx="3">
                  <c:v>0.3435110444728699</c:v>
                </c:pt>
                <c:pt idx="4">
                  <c:v>0.33619106440195573</c:v>
                </c:pt>
                <c:pt idx="5">
                  <c:v>0.32562329402718498</c:v>
                </c:pt>
                <c:pt idx="6">
                  <c:v>0.31177751458365516</c:v>
                </c:pt>
                <c:pt idx="7">
                  <c:v>0.29481256933338207</c:v>
                </c:pt>
                <c:pt idx="8">
                  <c:v>0.27508565880030805</c:v>
                </c:pt>
                <c:pt idx="9">
                  <c:v>0.25313436572070452</c:v>
                </c:pt>
                <c:pt idx="10">
                  <c:v>0.22963213832015728</c:v>
                </c:pt>
                <c:pt idx="11">
                  <c:v>0.20532488519764111</c:v>
                </c:pt>
                <c:pt idx="12">
                  <c:v>0.18096095414802366</c:v>
                </c:pt>
                <c:pt idx="13">
                  <c:v>0.15722733457705465</c:v>
                </c:pt>
                <c:pt idx="14">
                  <c:v>0.13470170237159046</c:v>
                </c:pt>
                <c:pt idx="15">
                  <c:v>0.11382475793097974</c:v>
                </c:pt>
                <c:pt idx="16">
                  <c:v>9.4892339921307065E-2</c:v>
                </c:pt>
                <c:pt idx="17">
                  <c:v>7.8063424822812519E-2</c:v>
                </c:pt>
                <c:pt idx="18">
                  <c:v>6.3378692211088897E-2</c:v>
                </c:pt>
                <c:pt idx="19">
                  <c:v>5.078445637726238E-2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1B-4346-99C5-4F2CC5589AB8}"/>
            </c:ext>
          </c:extLst>
        </c:ser>
        <c:ser>
          <c:idx val="1"/>
          <c:order val="2"/>
          <c:tx>
            <c:v>CH4 in permeate</c:v>
          </c:tx>
          <c:marker>
            <c:symbol val="none"/>
          </c:marker>
          <c:xVal>
            <c:numRef>
              <c:f>Sheet1!$K$4:$K$23</c:f>
              <c:numCache>
                <c:formatCode>General</c:formatCode>
                <c:ptCount val="2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  <c:pt idx="12">
                  <c:v>0.25999999999999995</c:v>
                </c:pt>
                <c:pt idx="13">
                  <c:v>0.27999999999999997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0.36000000000000004</c:v>
                </c:pt>
                <c:pt idx="18">
                  <c:v>0.38000000000000006</c:v>
                </c:pt>
                <c:pt idx="19">
                  <c:v>0.40000000000000008</c:v>
                </c:pt>
              </c:numCache>
            </c:numRef>
          </c:xVal>
          <c:yVal>
            <c:numRef>
              <c:f>Sheet1!$O$4:$O$23</c:f>
              <c:numCache>
                <c:formatCode>General</c:formatCode>
                <c:ptCount val="20"/>
                <c:pt idx="0">
                  <c:v>0.26737303418591113</c:v>
                </c:pt>
                <c:pt idx="1">
                  <c:v>0.29344090772185039</c:v>
                </c:pt>
                <c:pt idx="2">
                  <c:v>0.32241156488493167</c:v>
                </c:pt>
                <c:pt idx="3">
                  <c:v>0.35439209478960609</c:v>
                </c:pt>
                <c:pt idx="4">
                  <c:v>0.38937705365150505</c:v>
                </c:pt>
                <c:pt idx="5">
                  <c:v>0.42722242742404326</c:v>
                </c:pt>
                <c:pt idx="6">
                  <c:v>0.46762030082002254</c:v>
                </c:pt>
                <c:pt idx="7">
                  <c:v>0.51008711171872734</c:v>
                </c:pt>
                <c:pt idx="8">
                  <c:v>0.55397326869244723</c:v>
                </c:pt>
                <c:pt idx="9">
                  <c:v>0.59849744933673521</c:v>
                </c:pt>
                <c:pt idx="10">
                  <c:v>0.64280276311881379</c:v>
                </c:pt>
                <c:pt idx="11">
                  <c:v>0.68602588247917318</c:v>
                </c:pt>
                <c:pt idx="12">
                  <c:v>0.72736673401422303</c:v>
                </c:pt>
                <c:pt idx="13">
                  <c:v>0.76614679654360029</c:v>
                </c:pt>
                <c:pt idx="14">
                  <c:v>0.80184792961057427</c:v>
                </c:pt>
                <c:pt idx="15">
                  <c:v>0.83412901356438551</c:v>
                </c:pt>
                <c:pt idx="16">
                  <c:v>0.86282245592041218</c:v>
                </c:pt>
                <c:pt idx="17">
                  <c:v>0.88791558206341181</c:v>
                </c:pt>
                <c:pt idx="18">
                  <c:v>0.90952291028755095</c:v>
                </c:pt>
                <c:pt idx="19">
                  <c:v>0.92785480343879079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1B-4346-99C5-4F2CC5589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79456"/>
        <c:axId val="205381632"/>
      </c:scatterChart>
      <c:valAx>
        <c:axId val="205379456"/>
        <c:scaling>
          <c:orientation val="minMax"/>
          <c:max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Permeate/Feed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5381632"/>
        <c:crosses val="autoZero"/>
        <c:crossBetween val="midCat"/>
      </c:valAx>
      <c:valAx>
        <c:axId val="205381632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Molar fraction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5379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Sheet1!$AD$3</c:f>
              <c:strCache>
                <c:ptCount val="1"/>
                <c:pt idx="0">
                  <c:v>h2s uptake</c:v>
                </c:pt>
              </c:strCache>
            </c:strRef>
          </c:tx>
          <c:marker>
            <c:symbol val="none"/>
          </c:marker>
          <c:xVal>
            <c:numRef>
              <c:f>Sheet1!$K$4:$K$15</c:f>
              <c:numCache>
                <c:formatCode>General</c:formatCode>
                <c:ptCount val="12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</c:numCache>
            </c:numRef>
          </c:xVal>
          <c:yVal>
            <c:numRef>
              <c:f>Sheet1!$P$4:$P$15</c:f>
              <c:numCache>
                <c:formatCode>General</c:formatCode>
                <c:ptCount val="12"/>
                <c:pt idx="0">
                  <c:v>0.38422235238107677</c:v>
                </c:pt>
                <c:pt idx="1">
                  <c:v>0.3572821348829075</c:v>
                </c:pt>
                <c:pt idx="2">
                  <c:v>0.32981676381913216</c:v>
                </c:pt>
                <c:pt idx="3">
                  <c:v>0.30209686073523145</c:v>
                </c:pt>
                <c:pt idx="4">
                  <c:v>0.2744318819454602</c:v>
                </c:pt>
                <c:pt idx="5">
                  <c:v>0.24715427854922964</c:v>
                </c:pt>
                <c:pt idx="6">
                  <c:v>0.22060218459489725</c:v>
                </c:pt>
                <c:pt idx="7">
                  <c:v>0.19510031894618315</c:v>
                </c:pt>
                <c:pt idx="8">
                  <c:v>0.17094107250565807</c:v>
                </c:pt>
                <c:pt idx="9">
                  <c:v>0.14836818494091333</c:v>
                </c:pt>
                <c:pt idx="10">
                  <c:v>0.12756509855947573</c:v>
                </c:pt>
                <c:pt idx="11">
                  <c:v>0.10864923232293419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D7-4A7B-AEE4-EB6FC0C0B788}"/>
            </c:ext>
          </c:extLst>
        </c:ser>
        <c:ser>
          <c:idx val="2"/>
          <c:order val="1"/>
          <c:tx>
            <c:strRef>
              <c:f>Sheet1!$AE$3</c:f>
              <c:strCache>
                <c:ptCount val="1"/>
                <c:pt idx="0">
                  <c:v>co2 uptake</c:v>
                </c:pt>
              </c:strCache>
            </c:strRef>
          </c:tx>
          <c:marker>
            <c:symbol val="none"/>
          </c:marker>
          <c:xVal>
            <c:numRef>
              <c:f>Sheet1!$K$4:$K$14</c:f>
              <c:numCache>
                <c:formatCode>General</c:formatCode>
                <c:ptCount val="11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</c:numCache>
            </c:numRef>
          </c:xVal>
          <c:yVal>
            <c:numRef>
              <c:f>Sheet1!$Q$4:$Q$14</c:f>
              <c:numCache>
                <c:formatCode>General</c:formatCode>
                <c:ptCount val="11"/>
                <c:pt idx="0">
                  <c:v>0.34840461342987405</c:v>
                </c:pt>
                <c:pt idx="1">
                  <c:v>0.34927695739431047</c:v>
                </c:pt>
                <c:pt idx="2">
                  <c:v>0.34777167128986097</c:v>
                </c:pt>
                <c:pt idx="3">
                  <c:v>0.3435110444728699</c:v>
                </c:pt>
                <c:pt idx="4">
                  <c:v>0.33619106440195573</c:v>
                </c:pt>
                <c:pt idx="5">
                  <c:v>0.32562329402718498</c:v>
                </c:pt>
                <c:pt idx="6">
                  <c:v>0.31177751458365516</c:v>
                </c:pt>
                <c:pt idx="7">
                  <c:v>0.29481256933338207</c:v>
                </c:pt>
                <c:pt idx="8">
                  <c:v>0.27508565880030805</c:v>
                </c:pt>
                <c:pt idx="9">
                  <c:v>0.25313436572070452</c:v>
                </c:pt>
                <c:pt idx="10">
                  <c:v>0.22963213832015728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D7-4A7B-AEE4-EB6FC0C0B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551744"/>
        <c:axId val="147553280"/>
      </c:scatterChart>
      <c:valAx>
        <c:axId val="147551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7553280"/>
        <c:crosses val="autoZero"/>
        <c:crossBetween val="midCat"/>
      </c:valAx>
      <c:valAx>
        <c:axId val="1475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7551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H2S in permeate</c:v>
          </c:tx>
          <c:marker>
            <c:symbol val="none"/>
          </c:marker>
          <c:xVal>
            <c:numRef>
              <c:f>Sheet1!$K$4:$K$23</c:f>
              <c:numCache>
                <c:formatCode>General</c:formatCode>
                <c:ptCount val="2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  <c:pt idx="12">
                  <c:v>0.25999999999999995</c:v>
                </c:pt>
                <c:pt idx="13">
                  <c:v>0.27999999999999997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0.36000000000000004</c:v>
                </c:pt>
                <c:pt idx="18">
                  <c:v>0.38000000000000006</c:v>
                </c:pt>
                <c:pt idx="19">
                  <c:v>0.40000000000000008</c:v>
                </c:pt>
              </c:numCache>
            </c:numRef>
          </c:xVal>
          <c:yVal>
            <c:numRef>
              <c:f>Sheet1!$P$4:$P$23</c:f>
              <c:numCache>
                <c:formatCode>General</c:formatCode>
                <c:ptCount val="20"/>
                <c:pt idx="0">
                  <c:v>0.38422235238107677</c:v>
                </c:pt>
                <c:pt idx="1">
                  <c:v>0.3572821348829075</c:v>
                </c:pt>
                <c:pt idx="2">
                  <c:v>0.32981676381913216</c:v>
                </c:pt>
                <c:pt idx="3">
                  <c:v>0.30209686073523145</c:v>
                </c:pt>
                <c:pt idx="4">
                  <c:v>0.2744318819454602</c:v>
                </c:pt>
                <c:pt idx="5">
                  <c:v>0.24715427854922964</c:v>
                </c:pt>
                <c:pt idx="6">
                  <c:v>0.22060218459489725</c:v>
                </c:pt>
                <c:pt idx="7">
                  <c:v>0.19510031894618315</c:v>
                </c:pt>
                <c:pt idx="8">
                  <c:v>0.17094107250565807</c:v>
                </c:pt>
                <c:pt idx="9">
                  <c:v>0.14836818494091333</c:v>
                </c:pt>
                <c:pt idx="10">
                  <c:v>0.12756509855947573</c:v>
                </c:pt>
                <c:pt idx="11">
                  <c:v>0.10864923232293419</c:v>
                </c:pt>
                <c:pt idx="12">
                  <c:v>9.167231183762313E-2</c:v>
                </c:pt>
                <c:pt idx="13">
                  <c:v>7.6625868879803646E-2</c:v>
                </c:pt>
                <c:pt idx="14">
                  <c:v>6.3450368051999551E-2</c:v>
                </c:pt>
                <c:pt idx="15">
                  <c:v>5.2046228505910036E-2</c:v>
                </c:pt>
                <c:pt idx="16">
                  <c:v>4.2285204157714078E-2</c:v>
                </c:pt>
                <c:pt idx="17">
                  <c:v>3.4020993114009947E-2</c:v>
                </c:pt>
                <c:pt idx="18">
                  <c:v>2.7098397503010584E-2</c:v>
                </c:pt>
                <c:pt idx="19">
                  <c:v>2.1360740184202205E-2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B7-4822-8E58-EA22848F41DE}"/>
            </c:ext>
          </c:extLst>
        </c:ser>
        <c:ser>
          <c:idx val="2"/>
          <c:order val="1"/>
          <c:tx>
            <c:v>CO2 in permeate</c:v>
          </c:tx>
          <c:marker>
            <c:symbol val="none"/>
          </c:marker>
          <c:xVal>
            <c:numRef>
              <c:f>Sheet1!$K$4:$K$23</c:f>
              <c:numCache>
                <c:formatCode>General</c:formatCode>
                <c:ptCount val="2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  <c:pt idx="12">
                  <c:v>0.25999999999999995</c:v>
                </c:pt>
                <c:pt idx="13">
                  <c:v>0.27999999999999997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0.36000000000000004</c:v>
                </c:pt>
                <c:pt idx="18">
                  <c:v>0.38000000000000006</c:v>
                </c:pt>
                <c:pt idx="19">
                  <c:v>0.40000000000000008</c:v>
                </c:pt>
              </c:numCache>
            </c:numRef>
          </c:xVal>
          <c:yVal>
            <c:numRef>
              <c:f>Sheet1!$Q$4:$Q$23</c:f>
              <c:numCache>
                <c:formatCode>General</c:formatCode>
                <c:ptCount val="20"/>
                <c:pt idx="0">
                  <c:v>0.34840461342987405</c:v>
                </c:pt>
                <c:pt idx="1">
                  <c:v>0.34927695739431047</c:v>
                </c:pt>
                <c:pt idx="2">
                  <c:v>0.34777167128986097</c:v>
                </c:pt>
                <c:pt idx="3">
                  <c:v>0.3435110444728699</c:v>
                </c:pt>
                <c:pt idx="4">
                  <c:v>0.33619106440195573</c:v>
                </c:pt>
                <c:pt idx="5">
                  <c:v>0.32562329402718498</c:v>
                </c:pt>
                <c:pt idx="6">
                  <c:v>0.31177751458365516</c:v>
                </c:pt>
                <c:pt idx="7">
                  <c:v>0.29481256933338207</c:v>
                </c:pt>
                <c:pt idx="8">
                  <c:v>0.27508565880030805</c:v>
                </c:pt>
                <c:pt idx="9">
                  <c:v>0.25313436572070452</c:v>
                </c:pt>
                <c:pt idx="10">
                  <c:v>0.22963213832015728</c:v>
                </c:pt>
                <c:pt idx="11">
                  <c:v>0.20532488519764111</c:v>
                </c:pt>
                <c:pt idx="12">
                  <c:v>0.18096095414802366</c:v>
                </c:pt>
                <c:pt idx="13">
                  <c:v>0.15722733457705465</c:v>
                </c:pt>
                <c:pt idx="14">
                  <c:v>0.13470170237159046</c:v>
                </c:pt>
                <c:pt idx="15">
                  <c:v>0.11382475793097974</c:v>
                </c:pt>
                <c:pt idx="16">
                  <c:v>9.4892339921307065E-2</c:v>
                </c:pt>
                <c:pt idx="17">
                  <c:v>7.8063424822812519E-2</c:v>
                </c:pt>
                <c:pt idx="18">
                  <c:v>6.3378692211088897E-2</c:v>
                </c:pt>
                <c:pt idx="19">
                  <c:v>5.078445637726238E-2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B7-4822-8E58-EA22848F41DE}"/>
            </c:ext>
          </c:extLst>
        </c:ser>
        <c:ser>
          <c:idx val="1"/>
          <c:order val="2"/>
          <c:tx>
            <c:v>CH4 in permeate</c:v>
          </c:tx>
          <c:marker>
            <c:symbol val="none"/>
          </c:marker>
          <c:xVal>
            <c:numRef>
              <c:f>Sheet1!$K$4:$K$23</c:f>
              <c:numCache>
                <c:formatCode>General</c:formatCode>
                <c:ptCount val="2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  <c:pt idx="12">
                  <c:v>0.25999999999999995</c:v>
                </c:pt>
                <c:pt idx="13">
                  <c:v>0.27999999999999997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0.36000000000000004</c:v>
                </c:pt>
                <c:pt idx="18">
                  <c:v>0.38000000000000006</c:v>
                </c:pt>
                <c:pt idx="19">
                  <c:v>0.40000000000000008</c:v>
                </c:pt>
              </c:numCache>
            </c:numRef>
          </c:xVal>
          <c:yVal>
            <c:numRef>
              <c:f>Sheet1!$O$4:$O$23</c:f>
              <c:numCache>
                <c:formatCode>General</c:formatCode>
                <c:ptCount val="20"/>
                <c:pt idx="0">
                  <c:v>0.26737303418591113</c:v>
                </c:pt>
                <c:pt idx="1">
                  <c:v>0.29344090772185039</c:v>
                </c:pt>
                <c:pt idx="2">
                  <c:v>0.32241156488493167</c:v>
                </c:pt>
                <c:pt idx="3">
                  <c:v>0.35439209478960609</c:v>
                </c:pt>
                <c:pt idx="4">
                  <c:v>0.38937705365150505</c:v>
                </c:pt>
                <c:pt idx="5">
                  <c:v>0.42722242742404326</c:v>
                </c:pt>
                <c:pt idx="6">
                  <c:v>0.46762030082002254</c:v>
                </c:pt>
                <c:pt idx="7">
                  <c:v>0.51008711171872734</c:v>
                </c:pt>
                <c:pt idx="8">
                  <c:v>0.55397326869244723</c:v>
                </c:pt>
                <c:pt idx="9">
                  <c:v>0.59849744933673521</c:v>
                </c:pt>
                <c:pt idx="10">
                  <c:v>0.64280276311881379</c:v>
                </c:pt>
                <c:pt idx="11">
                  <c:v>0.68602588247917318</c:v>
                </c:pt>
                <c:pt idx="12">
                  <c:v>0.72736673401422303</c:v>
                </c:pt>
                <c:pt idx="13">
                  <c:v>0.76614679654360029</c:v>
                </c:pt>
                <c:pt idx="14">
                  <c:v>0.80184792961057427</c:v>
                </c:pt>
                <c:pt idx="15">
                  <c:v>0.83412901356438551</c:v>
                </c:pt>
                <c:pt idx="16">
                  <c:v>0.86282245592041218</c:v>
                </c:pt>
                <c:pt idx="17">
                  <c:v>0.88791558206341181</c:v>
                </c:pt>
                <c:pt idx="18">
                  <c:v>0.90952291028755095</c:v>
                </c:pt>
                <c:pt idx="19">
                  <c:v>0.92785480343879079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B7-4822-8E58-EA22848F41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040704"/>
        <c:axId val="186042624"/>
      </c:scatterChart>
      <c:valAx>
        <c:axId val="186040704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Permeate/Feed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6042624"/>
        <c:crosses val="autoZero"/>
        <c:crossBetween val="midCat"/>
      </c:valAx>
      <c:valAx>
        <c:axId val="186042624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Molar fraction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6040704"/>
        <c:crosses val="autoZero"/>
        <c:crossBetween val="midCat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Sheet1!$AD$3</c:f>
              <c:strCache>
                <c:ptCount val="1"/>
                <c:pt idx="0">
                  <c:v>h2s uptake</c:v>
                </c:pt>
              </c:strCache>
            </c:strRef>
          </c:tx>
          <c:marker>
            <c:symbol val="none"/>
          </c:marker>
          <c:xVal>
            <c:numRef>
              <c:f>Sheet1!$K$4:$K$15</c:f>
              <c:numCache>
                <c:formatCode>General</c:formatCode>
                <c:ptCount val="12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</c:numCache>
            </c:numRef>
          </c:xVal>
          <c:yVal>
            <c:numRef>
              <c:f>Sheet1!$P$4:$P$15</c:f>
              <c:numCache>
                <c:formatCode>General</c:formatCode>
                <c:ptCount val="12"/>
                <c:pt idx="0">
                  <c:v>0.38422235238107677</c:v>
                </c:pt>
                <c:pt idx="1">
                  <c:v>0.3572821348829075</c:v>
                </c:pt>
                <c:pt idx="2">
                  <c:v>0.32981676381913216</c:v>
                </c:pt>
                <c:pt idx="3">
                  <c:v>0.30209686073523145</c:v>
                </c:pt>
                <c:pt idx="4">
                  <c:v>0.2744318819454602</c:v>
                </c:pt>
                <c:pt idx="5">
                  <c:v>0.24715427854922964</c:v>
                </c:pt>
                <c:pt idx="6">
                  <c:v>0.22060218459489725</c:v>
                </c:pt>
                <c:pt idx="7">
                  <c:v>0.19510031894618315</c:v>
                </c:pt>
                <c:pt idx="8">
                  <c:v>0.17094107250565807</c:v>
                </c:pt>
                <c:pt idx="9">
                  <c:v>0.14836818494091333</c:v>
                </c:pt>
                <c:pt idx="10">
                  <c:v>0.12756509855947573</c:v>
                </c:pt>
                <c:pt idx="11">
                  <c:v>0.10864923232293419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67-4518-87AA-9D4AEE12E80E}"/>
            </c:ext>
          </c:extLst>
        </c:ser>
        <c:ser>
          <c:idx val="2"/>
          <c:order val="1"/>
          <c:tx>
            <c:strRef>
              <c:f>Sheet1!$AE$3</c:f>
              <c:strCache>
                <c:ptCount val="1"/>
                <c:pt idx="0">
                  <c:v>co2 uptake</c:v>
                </c:pt>
              </c:strCache>
            </c:strRef>
          </c:tx>
          <c:marker>
            <c:symbol val="none"/>
          </c:marker>
          <c:xVal>
            <c:numRef>
              <c:f>Sheet1!$K$4:$K$14</c:f>
              <c:numCache>
                <c:formatCode>General</c:formatCode>
                <c:ptCount val="11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</c:numCache>
            </c:numRef>
          </c:xVal>
          <c:yVal>
            <c:numRef>
              <c:f>Sheet1!$Q$4:$Q$14</c:f>
              <c:numCache>
                <c:formatCode>General</c:formatCode>
                <c:ptCount val="11"/>
                <c:pt idx="0">
                  <c:v>0.34840461342987405</c:v>
                </c:pt>
                <c:pt idx="1">
                  <c:v>0.34927695739431047</c:v>
                </c:pt>
                <c:pt idx="2">
                  <c:v>0.34777167128986097</c:v>
                </c:pt>
                <c:pt idx="3">
                  <c:v>0.3435110444728699</c:v>
                </c:pt>
                <c:pt idx="4">
                  <c:v>0.33619106440195573</c:v>
                </c:pt>
                <c:pt idx="5">
                  <c:v>0.32562329402718498</c:v>
                </c:pt>
                <c:pt idx="6">
                  <c:v>0.31177751458365516</c:v>
                </c:pt>
                <c:pt idx="7">
                  <c:v>0.29481256933338207</c:v>
                </c:pt>
                <c:pt idx="8">
                  <c:v>0.27508565880030805</c:v>
                </c:pt>
                <c:pt idx="9">
                  <c:v>0.25313436572070452</c:v>
                </c:pt>
                <c:pt idx="10">
                  <c:v>0.22963213832015728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67-4518-87AA-9D4AEE12E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05152"/>
        <c:axId val="207906688"/>
      </c:scatterChart>
      <c:valAx>
        <c:axId val="20790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7906688"/>
        <c:crosses val="autoZero"/>
        <c:crossBetween val="midCat"/>
      </c:valAx>
      <c:valAx>
        <c:axId val="207906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905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H2S in permeate</c:v>
          </c:tx>
          <c:marker>
            <c:symbol val="none"/>
          </c:marker>
          <c:xVal>
            <c:numRef>
              <c:f>Sheet1!$K$4:$K$23</c:f>
              <c:numCache>
                <c:formatCode>General</c:formatCode>
                <c:ptCount val="2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  <c:pt idx="12">
                  <c:v>0.25999999999999995</c:v>
                </c:pt>
                <c:pt idx="13">
                  <c:v>0.27999999999999997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0.36000000000000004</c:v>
                </c:pt>
                <c:pt idx="18">
                  <c:v>0.38000000000000006</c:v>
                </c:pt>
                <c:pt idx="19">
                  <c:v>0.40000000000000008</c:v>
                </c:pt>
              </c:numCache>
            </c:numRef>
          </c:xVal>
          <c:yVal>
            <c:numRef>
              <c:f>Sheet1!$P$4:$P$23</c:f>
              <c:numCache>
                <c:formatCode>General</c:formatCode>
                <c:ptCount val="20"/>
                <c:pt idx="0">
                  <c:v>0.38422235238107677</c:v>
                </c:pt>
                <c:pt idx="1">
                  <c:v>0.3572821348829075</c:v>
                </c:pt>
                <c:pt idx="2">
                  <c:v>0.32981676381913216</c:v>
                </c:pt>
                <c:pt idx="3">
                  <c:v>0.30209686073523145</c:v>
                </c:pt>
                <c:pt idx="4">
                  <c:v>0.2744318819454602</c:v>
                </c:pt>
                <c:pt idx="5">
                  <c:v>0.24715427854922964</c:v>
                </c:pt>
                <c:pt idx="6">
                  <c:v>0.22060218459489725</c:v>
                </c:pt>
                <c:pt idx="7">
                  <c:v>0.19510031894618315</c:v>
                </c:pt>
                <c:pt idx="8">
                  <c:v>0.17094107250565807</c:v>
                </c:pt>
                <c:pt idx="9">
                  <c:v>0.14836818494091333</c:v>
                </c:pt>
                <c:pt idx="10">
                  <c:v>0.12756509855947573</c:v>
                </c:pt>
                <c:pt idx="11">
                  <c:v>0.10864923232293419</c:v>
                </c:pt>
                <c:pt idx="12">
                  <c:v>9.167231183762313E-2</c:v>
                </c:pt>
                <c:pt idx="13">
                  <c:v>7.6625868879803646E-2</c:v>
                </c:pt>
                <c:pt idx="14">
                  <c:v>6.3450368051999551E-2</c:v>
                </c:pt>
                <c:pt idx="15">
                  <c:v>5.2046228505910036E-2</c:v>
                </c:pt>
                <c:pt idx="16">
                  <c:v>4.2285204157714078E-2</c:v>
                </c:pt>
                <c:pt idx="17">
                  <c:v>3.4020993114009947E-2</c:v>
                </c:pt>
                <c:pt idx="18">
                  <c:v>2.7098397503010584E-2</c:v>
                </c:pt>
                <c:pt idx="19">
                  <c:v>2.1360740184202205E-2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63-488D-B563-CCE948C20CFF}"/>
            </c:ext>
          </c:extLst>
        </c:ser>
        <c:ser>
          <c:idx val="2"/>
          <c:order val="1"/>
          <c:tx>
            <c:v>CO2 in permeate</c:v>
          </c:tx>
          <c:marker>
            <c:symbol val="none"/>
          </c:marker>
          <c:xVal>
            <c:numRef>
              <c:f>Sheet1!$K$4:$K$23</c:f>
              <c:numCache>
                <c:formatCode>General</c:formatCode>
                <c:ptCount val="2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  <c:pt idx="12">
                  <c:v>0.25999999999999995</c:v>
                </c:pt>
                <c:pt idx="13">
                  <c:v>0.27999999999999997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0.36000000000000004</c:v>
                </c:pt>
                <c:pt idx="18">
                  <c:v>0.38000000000000006</c:v>
                </c:pt>
                <c:pt idx="19">
                  <c:v>0.40000000000000008</c:v>
                </c:pt>
              </c:numCache>
            </c:numRef>
          </c:xVal>
          <c:yVal>
            <c:numRef>
              <c:f>Sheet1!$Q$4:$Q$23</c:f>
              <c:numCache>
                <c:formatCode>General</c:formatCode>
                <c:ptCount val="20"/>
                <c:pt idx="0">
                  <c:v>0.34840461342987405</c:v>
                </c:pt>
                <c:pt idx="1">
                  <c:v>0.34927695739431047</c:v>
                </c:pt>
                <c:pt idx="2">
                  <c:v>0.34777167128986097</c:v>
                </c:pt>
                <c:pt idx="3">
                  <c:v>0.3435110444728699</c:v>
                </c:pt>
                <c:pt idx="4">
                  <c:v>0.33619106440195573</c:v>
                </c:pt>
                <c:pt idx="5">
                  <c:v>0.32562329402718498</c:v>
                </c:pt>
                <c:pt idx="6">
                  <c:v>0.31177751458365516</c:v>
                </c:pt>
                <c:pt idx="7">
                  <c:v>0.29481256933338207</c:v>
                </c:pt>
                <c:pt idx="8">
                  <c:v>0.27508565880030805</c:v>
                </c:pt>
                <c:pt idx="9">
                  <c:v>0.25313436572070452</c:v>
                </c:pt>
                <c:pt idx="10">
                  <c:v>0.22963213832015728</c:v>
                </c:pt>
                <c:pt idx="11">
                  <c:v>0.20532488519764111</c:v>
                </c:pt>
                <c:pt idx="12">
                  <c:v>0.18096095414802366</c:v>
                </c:pt>
                <c:pt idx="13">
                  <c:v>0.15722733457705465</c:v>
                </c:pt>
                <c:pt idx="14">
                  <c:v>0.13470170237159046</c:v>
                </c:pt>
                <c:pt idx="15">
                  <c:v>0.11382475793097974</c:v>
                </c:pt>
                <c:pt idx="16">
                  <c:v>9.4892339921307065E-2</c:v>
                </c:pt>
                <c:pt idx="17">
                  <c:v>7.8063424822812519E-2</c:v>
                </c:pt>
                <c:pt idx="18">
                  <c:v>6.3378692211088897E-2</c:v>
                </c:pt>
                <c:pt idx="19">
                  <c:v>5.078445637726238E-2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63-488D-B563-CCE948C20CFF}"/>
            </c:ext>
          </c:extLst>
        </c:ser>
        <c:ser>
          <c:idx val="1"/>
          <c:order val="2"/>
          <c:tx>
            <c:v>CH4 in permeate</c:v>
          </c:tx>
          <c:marker>
            <c:symbol val="none"/>
          </c:marker>
          <c:xVal>
            <c:numRef>
              <c:f>Sheet1!$K$4:$K$23</c:f>
              <c:numCache>
                <c:formatCode>General</c:formatCode>
                <c:ptCount val="20"/>
                <c:pt idx="0">
                  <c:v>0.02</c:v>
                </c:pt>
                <c:pt idx="1">
                  <c:v>0.04</c:v>
                </c:pt>
                <c:pt idx="2">
                  <c:v>0.06</c:v>
                </c:pt>
                <c:pt idx="3">
                  <c:v>0.08</c:v>
                </c:pt>
                <c:pt idx="4">
                  <c:v>0.1</c:v>
                </c:pt>
                <c:pt idx="5">
                  <c:v>0.12000000000000001</c:v>
                </c:pt>
                <c:pt idx="6">
                  <c:v>0.14000000000000001</c:v>
                </c:pt>
                <c:pt idx="7">
                  <c:v>0.16</c:v>
                </c:pt>
                <c:pt idx="8">
                  <c:v>0.18</c:v>
                </c:pt>
                <c:pt idx="9">
                  <c:v>0.19999999999999998</c:v>
                </c:pt>
                <c:pt idx="10">
                  <c:v>0.21999999999999997</c:v>
                </c:pt>
                <c:pt idx="11">
                  <c:v>0.23999999999999996</c:v>
                </c:pt>
                <c:pt idx="12">
                  <c:v>0.25999999999999995</c:v>
                </c:pt>
                <c:pt idx="13">
                  <c:v>0.27999999999999997</c:v>
                </c:pt>
                <c:pt idx="14">
                  <c:v>0.3</c:v>
                </c:pt>
                <c:pt idx="15">
                  <c:v>0.32</c:v>
                </c:pt>
                <c:pt idx="16">
                  <c:v>0.34</c:v>
                </c:pt>
                <c:pt idx="17">
                  <c:v>0.36000000000000004</c:v>
                </c:pt>
                <c:pt idx="18">
                  <c:v>0.38000000000000006</c:v>
                </c:pt>
                <c:pt idx="19">
                  <c:v>0.40000000000000008</c:v>
                </c:pt>
              </c:numCache>
            </c:numRef>
          </c:xVal>
          <c:yVal>
            <c:numRef>
              <c:f>Sheet1!$O$4:$O$23</c:f>
              <c:numCache>
                <c:formatCode>General</c:formatCode>
                <c:ptCount val="20"/>
                <c:pt idx="0">
                  <c:v>0.26737303418591113</c:v>
                </c:pt>
                <c:pt idx="1">
                  <c:v>0.29344090772185039</c:v>
                </c:pt>
                <c:pt idx="2">
                  <c:v>0.32241156488493167</c:v>
                </c:pt>
                <c:pt idx="3">
                  <c:v>0.35439209478960609</c:v>
                </c:pt>
                <c:pt idx="4">
                  <c:v>0.38937705365150505</c:v>
                </c:pt>
                <c:pt idx="5">
                  <c:v>0.42722242742404326</c:v>
                </c:pt>
                <c:pt idx="6">
                  <c:v>0.46762030082002254</c:v>
                </c:pt>
                <c:pt idx="7">
                  <c:v>0.51008711171872734</c:v>
                </c:pt>
                <c:pt idx="8">
                  <c:v>0.55397326869244723</c:v>
                </c:pt>
                <c:pt idx="9">
                  <c:v>0.59849744933673521</c:v>
                </c:pt>
                <c:pt idx="10">
                  <c:v>0.64280276311881379</c:v>
                </c:pt>
                <c:pt idx="11">
                  <c:v>0.68602588247917318</c:v>
                </c:pt>
                <c:pt idx="12">
                  <c:v>0.72736673401422303</c:v>
                </c:pt>
                <c:pt idx="13">
                  <c:v>0.76614679654360029</c:v>
                </c:pt>
                <c:pt idx="14">
                  <c:v>0.80184792961057427</c:v>
                </c:pt>
                <c:pt idx="15">
                  <c:v>0.83412901356438551</c:v>
                </c:pt>
                <c:pt idx="16">
                  <c:v>0.86282245592041218</c:v>
                </c:pt>
                <c:pt idx="17">
                  <c:v>0.88791558206341181</c:v>
                </c:pt>
                <c:pt idx="18">
                  <c:v>0.90952291028755095</c:v>
                </c:pt>
                <c:pt idx="19">
                  <c:v>0.92785480343879079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63-488D-B563-CCE948C20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81952"/>
        <c:axId val="208623104"/>
      </c:scatterChart>
      <c:valAx>
        <c:axId val="207981952"/>
        <c:scaling>
          <c:orientation val="minMax"/>
          <c:max val="0.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Permeate/Feed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8623104"/>
        <c:crosses val="autoZero"/>
        <c:crossBetween val="midCat"/>
      </c:valAx>
      <c:valAx>
        <c:axId val="208623104"/>
        <c:scaling>
          <c:orientation val="minMax"/>
          <c:max val="0.5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Molar fraction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9819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542925</xdr:colOff>
      <xdr:row>2</xdr:row>
      <xdr:rowOff>85725</xdr:rowOff>
    </xdr:from>
    <xdr:to>
      <xdr:col>39</xdr:col>
      <xdr:colOff>238125</xdr:colOff>
      <xdr:row>16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10</xdr:row>
          <xdr:rowOff>9525</xdr:rowOff>
        </xdr:from>
        <xdr:to>
          <xdr:col>8</xdr:col>
          <xdr:colOff>200025</xdr:colOff>
          <xdr:row>12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390525</xdr:colOff>
      <xdr:row>17</xdr:row>
      <xdr:rowOff>47625</xdr:rowOff>
    </xdr:from>
    <xdr:to>
      <xdr:col>10</xdr:col>
      <xdr:colOff>38100</xdr:colOff>
      <xdr:row>31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542925</xdr:colOff>
      <xdr:row>2</xdr:row>
      <xdr:rowOff>85725</xdr:rowOff>
    </xdr:from>
    <xdr:to>
      <xdr:col>39</xdr:col>
      <xdr:colOff>238125</xdr:colOff>
      <xdr:row>16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10</xdr:row>
          <xdr:rowOff>9525</xdr:rowOff>
        </xdr:from>
        <xdr:to>
          <xdr:col>8</xdr:col>
          <xdr:colOff>200025</xdr:colOff>
          <xdr:row>12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400050</xdr:colOff>
      <xdr:row>18</xdr:row>
      <xdr:rowOff>152400</xdr:rowOff>
    </xdr:from>
    <xdr:to>
      <xdr:col>7</xdr:col>
      <xdr:colOff>514350</xdr:colOff>
      <xdr:row>33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542925</xdr:colOff>
      <xdr:row>2</xdr:row>
      <xdr:rowOff>85725</xdr:rowOff>
    </xdr:from>
    <xdr:to>
      <xdr:col>39</xdr:col>
      <xdr:colOff>238125</xdr:colOff>
      <xdr:row>16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10</xdr:row>
          <xdr:rowOff>9525</xdr:rowOff>
        </xdr:from>
        <xdr:to>
          <xdr:col>8</xdr:col>
          <xdr:colOff>200025</xdr:colOff>
          <xdr:row>12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400050</xdr:colOff>
      <xdr:row>18</xdr:row>
      <xdr:rowOff>152400</xdr:rowOff>
    </xdr:from>
    <xdr:to>
      <xdr:col>7</xdr:col>
      <xdr:colOff>514350</xdr:colOff>
      <xdr:row>33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E27"/>
  <sheetViews>
    <sheetView tabSelected="1" workbookViewId="0">
      <selection activeCell="I16" sqref="I16"/>
    </sheetView>
  </sheetViews>
  <sheetFormatPr defaultRowHeight="15" x14ac:dyDescent="0.25"/>
  <cols>
    <col min="2" max="3" width="12" bestFit="1" customWidth="1"/>
    <col min="4" max="4" width="9.7109375" bestFit="1" customWidth="1"/>
    <col min="6" max="7" width="12" bestFit="1" customWidth="1"/>
    <col min="8" max="8" width="10" bestFit="1" customWidth="1"/>
    <col min="9" max="9" width="11" bestFit="1" customWidth="1"/>
    <col min="10" max="10" width="10" bestFit="1" customWidth="1"/>
    <col min="12" max="12" width="12" bestFit="1" customWidth="1"/>
    <col min="16" max="16" width="11" bestFit="1" customWidth="1"/>
    <col min="24" max="24" width="12" bestFit="1" customWidth="1"/>
  </cols>
  <sheetData>
    <row r="2" spans="1:31" x14ac:dyDescent="0.25">
      <c r="C2" t="s">
        <v>0</v>
      </c>
      <c r="E2">
        <v>425824000</v>
      </c>
      <c r="T2" t="s">
        <v>22</v>
      </c>
      <c r="X2" s="4" t="s">
        <v>23</v>
      </c>
      <c r="Y2" s="4"/>
      <c r="Z2" s="4"/>
    </row>
    <row r="3" spans="1:31" x14ac:dyDescent="0.25">
      <c r="B3" s="6" t="s">
        <v>29</v>
      </c>
      <c r="C3" s="6">
        <v>425824000</v>
      </c>
      <c r="D3" s="6" t="s">
        <v>9</v>
      </c>
      <c r="E3" s="6" t="s">
        <v>4</v>
      </c>
      <c r="F3" s="6" t="s">
        <v>8</v>
      </c>
      <c r="G3" s="6" t="s">
        <v>7</v>
      </c>
      <c r="H3" s="6">
        <f>B4*(C8*D4-C9*E4)+B5*(C8*D5-C9*E5)+B6*(C8*D6-C9*E6)</f>
        <v>552.93220999327798</v>
      </c>
      <c r="L3" t="s">
        <v>10</v>
      </c>
      <c r="M3" t="s">
        <v>11</v>
      </c>
      <c r="N3" t="s">
        <v>12</v>
      </c>
      <c r="O3" t="s">
        <v>13</v>
      </c>
      <c r="P3" t="s">
        <v>14</v>
      </c>
      <c r="Q3" t="s">
        <v>15</v>
      </c>
      <c r="R3" t="s">
        <v>16</v>
      </c>
      <c r="T3" t="s">
        <v>19</v>
      </c>
      <c r="U3" t="s">
        <v>20</v>
      </c>
      <c r="V3" t="s">
        <v>21</v>
      </c>
      <c r="X3" t="s">
        <v>19</v>
      </c>
      <c r="Y3" t="s">
        <v>20</v>
      </c>
      <c r="Z3" t="s">
        <v>24</v>
      </c>
      <c r="AA3" t="s">
        <v>20</v>
      </c>
      <c r="AB3" t="s">
        <v>25</v>
      </c>
      <c r="AC3" t="s">
        <v>26</v>
      </c>
      <c r="AD3" t="s">
        <v>27</v>
      </c>
      <c r="AE3" t="s">
        <v>28</v>
      </c>
    </row>
    <row r="4" spans="1:31" x14ac:dyDescent="0.25">
      <c r="A4" s="6" t="s">
        <v>1</v>
      </c>
      <c r="B4" s="5">
        <f>0.0000000002/(0.00001)*76/101.325*3600</f>
        <v>5.4004441154700218E-2</v>
      </c>
      <c r="C4" s="5">
        <v>0.85</v>
      </c>
      <c r="D4" s="5">
        <v>0.99106138953470324</v>
      </c>
      <c r="E4" s="5">
        <v>0.92785480343879079</v>
      </c>
      <c r="F4" s="5">
        <f>B4*(C$8*D4-C$9*E4)/H$3</f>
        <v>0.92785480343816817</v>
      </c>
      <c r="G4" s="5">
        <f>(F4-E4)^2</f>
        <v>3.8764703768651042E-25</v>
      </c>
      <c r="H4" s="5">
        <f>Sheet2!C4*Sheet2!C3*(1-Sheet2!K23)</f>
        <v>30582549.343963906</v>
      </c>
      <c r="K4">
        <v>0.02</v>
      </c>
      <c r="L4" s="5">
        <v>0.85996672842983923</v>
      </c>
      <c r="M4" s="5">
        <v>4.5436297475845183E-2</v>
      </c>
      <c r="N4" s="5">
        <v>9.4987954738625632E-2</v>
      </c>
      <c r="O4" s="5">
        <v>0.26737303418591113</v>
      </c>
      <c r="P4" s="5">
        <v>0.38422235238107677</v>
      </c>
      <c r="Q4" s="5">
        <v>0.34840461342987405</v>
      </c>
      <c r="R4" s="5">
        <v>4753.137663314531</v>
      </c>
      <c r="S4" s="5" t="s">
        <v>17</v>
      </c>
      <c r="T4" s="5">
        <f>O4*K4*$C$3</f>
        <v>2277077.0981836286</v>
      </c>
      <c r="U4" s="5">
        <f>P4*K4*$C$3</f>
        <v>3272221.9796063928</v>
      </c>
      <c r="V4" s="5">
        <f>Q4*K4*$C$3</f>
        <v>2967180.9221832538</v>
      </c>
      <c r="X4">
        <f>L4*(1-K4)*$C$3</f>
        <v>358870582.72356969</v>
      </c>
      <c r="Y4">
        <f>M4*(1-K4)*$C$3</f>
        <v>18960908.617627215</v>
      </c>
      <c r="Z4">
        <f>N4*(1-K4)*$C$3</f>
        <v>39639187.821848109</v>
      </c>
      <c r="AB4">
        <f>C$3*C$4-X4</f>
        <v>3079817.2764303088</v>
      </c>
      <c r="AC4" s="1">
        <f>AB4/(C$3*C$4)</f>
        <v>8.5089483985383331E-3</v>
      </c>
      <c r="AD4" s="1">
        <f>U4/(C$3*C$5)</f>
        <v>0.15368894095243071</v>
      </c>
      <c r="AE4" s="1">
        <f>V4/(C$3*C$6)</f>
        <v>6.9680922685974811E-2</v>
      </c>
    </row>
    <row r="5" spans="1:31" x14ac:dyDescent="0.25">
      <c r="A5" s="6" t="s">
        <v>2</v>
      </c>
      <c r="B5" s="5">
        <f>B4*75</f>
        <v>4.0503330866025165</v>
      </c>
      <c r="C5" s="5">
        <v>0.05</v>
      </c>
      <c r="D5" s="5">
        <v>1.9141806275877896E-3</v>
      </c>
      <c r="E5" s="5">
        <v>2.1360740184202205E-2</v>
      </c>
      <c r="F5" s="5">
        <f>B5*(C$8*D5-C$9*E5)/H$3</f>
        <v>2.1360740184200908E-2</v>
      </c>
      <c r="G5" s="5">
        <f>(F5-E5)^2</f>
        <v>1.6836961056319313E-30</v>
      </c>
      <c r="H5" s="5">
        <f>Sheet2!D5*Sheet2!C3*(1-Sheet2!K23)</f>
        <v>2277153.8166397703</v>
      </c>
      <c r="K5">
        <v>0.04</v>
      </c>
      <c r="L5" s="5">
        <v>0.86964493642907759</v>
      </c>
      <c r="M5" s="5">
        <v>4.1046465445743668E-2</v>
      </c>
      <c r="N5" s="5">
        <v>8.9708441015891288E-2</v>
      </c>
      <c r="O5" s="5">
        <v>0.29344090772185039</v>
      </c>
      <c r="P5" s="5">
        <v>0.3572821348829075</v>
      </c>
      <c r="Q5" s="5">
        <v>0.34927695739431047</v>
      </c>
      <c r="R5" s="5">
        <v>9930.7883742058675</v>
      </c>
      <c r="S5" s="5" t="s">
        <v>17</v>
      </c>
      <c r="T5" s="5">
        <f t="shared" ref="T5:T20" si="0">O5*K5*$C$3</f>
        <v>4998167.2435899694</v>
      </c>
      <c r="U5" s="5">
        <f>P5*K5*$C$3</f>
        <v>6085572.3121751677</v>
      </c>
      <c r="V5" s="5">
        <f t="shared" ref="V5:V20" si="1">Q5*K5*$C$3</f>
        <v>5949220.4442189941</v>
      </c>
      <c r="X5">
        <f t="shared" ref="X5:X20" si="2">L5*(1-K5)*$C$3</f>
        <v>355503057.99357647</v>
      </c>
      <c r="Y5">
        <f t="shared" ref="Y5:Y20" si="3">M5*(1-K5)*$C$3</f>
        <v>16779427.297889616</v>
      </c>
      <c r="Z5">
        <f t="shared" ref="Z5:Z20" si="4">N5*(1-K5)*$C$3</f>
        <v>36672006.899664856</v>
      </c>
      <c r="AB5">
        <f t="shared" ref="AB5:AB20" si="5">C$3*C$4-X5</f>
        <v>6447342.006423533</v>
      </c>
      <c r="AC5" s="1">
        <f t="shared" ref="AC5:AC20" si="6">AB5/(C$3*C$4)</f>
        <v>1.7812777680100735E-2</v>
      </c>
      <c r="AD5" s="1">
        <f t="shared" ref="AD5:AD20" si="7">U5/(C$3*C$5)</f>
        <v>0.285825707906326</v>
      </c>
      <c r="AE5" s="1">
        <f t="shared" ref="AE5:AE20" si="8">V5/(C$3*C$6)</f>
        <v>0.13971078295772418</v>
      </c>
    </row>
    <row r="6" spans="1:31" x14ac:dyDescent="0.25">
      <c r="A6" s="6" t="s">
        <v>3</v>
      </c>
      <c r="B6" s="5">
        <f>B4*16</f>
        <v>0.86407105847520349</v>
      </c>
      <c r="C6" s="5">
        <v>0.1</v>
      </c>
      <c r="D6" s="5">
        <v>7.0271599745964763E-3</v>
      </c>
      <c r="E6" s="5">
        <v>5.078445637726238E-2</v>
      </c>
      <c r="F6" s="5">
        <f>B6*(C$8*D6-C$9*E6)/H$3</f>
        <v>5.0784456377631036E-2</v>
      </c>
      <c r="G6" s="5">
        <f>(F6-E6)^2</f>
        <v>1.3590761073108753E-25</v>
      </c>
      <c r="H6" s="5">
        <f>Sheet2!D6*Sheet2!C3*(1-Sheet2!K23)</f>
        <v>7202124.7072491627</v>
      </c>
      <c r="K6">
        <v>0.06</v>
      </c>
      <c r="L6" s="5">
        <v>0.87931741086104687</v>
      </c>
      <c r="M6" s="5">
        <v>3.6851962797313995E-2</v>
      </c>
      <c r="N6" s="5">
        <v>8.4185706624861092E-2</v>
      </c>
      <c r="O6" s="5">
        <v>0.32241156488493167</v>
      </c>
      <c r="P6" s="5">
        <v>0.32981676381913216</v>
      </c>
      <c r="Q6" s="5">
        <v>0.34777167128986097</v>
      </c>
      <c r="R6" s="5">
        <v>15583.049737053116</v>
      </c>
      <c r="S6" s="5" t="s">
        <v>17</v>
      </c>
      <c r="T6" s="5">
        <f t="shared" si="0"/>
        <v>8237434.9323336678</v>
      </c>
      <c r="U6" s="5">
        <f t="shared" ref="U6:U20" si="9">P6*K6*$C$3</f>
        <v>8426633.6181910876</v>
      </c>
      <c r="V6" s="5">
        <f t="shared" si="1"/>
        <v>8885371.4493200257</v>
      </c>
      <c r="X6">
        <f t="shared" si="2"/>
        <v>351968389.73274475</v>
      </c>
      <c r="Y6">
        <f t="shared" si="3"/>
        <v>14750903.193831228</v>
      </c>
      <c r="Z6">
        <f t="shared" si="4"/>
        <v>33697396.677555352</v>
      </c>
      <c r="AB6">
        <f t="shared" si="5"/>
        <v>9982010.2672552466</v>
      </c>
      <c r="AC6" s="1">
        <f t="shared" si="6"/>
        <v>2.7578392694842295E-2</v>
      </c>
      <c r="AD6" s="1">
        <f t="shared" si="7"/>
        <v>0.39578011658295859</v>
      </c>
      <c r="AE6" s="1">
        <f t="shared" si="8"/>
        <v>0.20866300277391658</v>
      </c>
    </row>
    <row r="7" spans="1:31" x14ac:dyDescent="0.25">
      <c r="A7" t="s">
        <v>18</v>
      </c>
      <c r="B7">
        <v>0.4</v>
      </c>
      <c r="D7">
        <f>SUM(D3:D6)</f>
        <v>1.0000027301368875</v>
      </c>
      <c r="E7">
        <f>SUM(E6,E5,E4)</f>
        <v>1.0000000000002554</v>
      </c>
      <c r="F7">
        <f>SUM(F3:F6)</f>
        <v>1</v>
      </c>
      <c r="G7">
        <f>SUM(G3:G6)</f>
        <v>5.2355633211370358E-25</v>
      </c>
      <c r="K7">
        <v>0.08</v>
      </c>
      <c r="L7" s="5">
        <v>0.88897690542404739</v>
      </c>
      <c r="M7" s="5">
        <v>3.2873139324514557E-2</v>
      </c>
      <c r="N7" s="5">
        <v>7.8455576958230661E-2</v>
      </c>
      <c r="O7" s="5">
        <v>0.35439209478960609</v>
      </c>
      <c r="P7" s="5">
        <v>0.30209686073523145</v>
      </c>
      <c r="Q7" s="5">
        <v>0.3435110444728699</v>
      </c>
      <c r="R7" s="5">
        <v>21761.825855745607</v>
      </c>
      <c r="S7" s="5" t="s">
        <v>17</v>
      </c>
      <c r="T7" s="5">
        <f t="shared" si="0"/>
        <v>12072692.749735137</v>
      </c>
      <c r="U7" s="5">
        <f t="shared" si="9"/>
        <v>10291207.490057535</v>
      </c>
      <c r="V7" s="5">
        <f t="shared" si="1"/>
        <v>11702019.760129228</v>
      </c>
      <c r="X7">
        <f t="shared" si="2"/>
        <v>348263885.63326645</v>
      </c>
      <c r="Y7">
        <f t="shared" si="3"/>
        <v>12878317.945344321</v>
      </c>
      <c r="Z7">
        <f t="shared" si="4"/>
        <v>30735606.194448683</v>
      </c>
      <c r="AB7">
        <f t="shared" si="5"/>
        <v>13686514.366733551</v>
      </c>
      <c r="AC7" s="1">
        <f t="shared" si="6"/>
        <v>3.7813231776325021E-2</v>
      </c>
      <c r="AD7" s="1">
        <f t="shared" si="7"/>
        <v>0.48335497717637033</v>
      </c>
      <c r="AE7" s="1">
        <f t="shared" si="8"/>
        <v>0.27480883557829594</v>
      </c>
    </row>
    <row r="8" spans="1:31" x14ac:dyDescent="0.25">
      <c r="B8" s="6" t="s">
        <v>5</v>
      </c>
      <c r="C8" s="6">
        <f>10324</f>
        <v>10324</v>
      </c>
      <c r="D8">
        <f>C8/76</f>
        <v>135.84210526315789</v>
      </c>
      <c r="E8">
        <f>800*(101.325/14.7)</f>
        <v>5514.2857142857147</v>
      </c>
      <c r="F8">
        <f>C8/C9</f>
        <v>13.090890647190099</v>
      </c>
      <c r="J8">
        <f>R8/10000</f>
        <v>2.8519699569241941</v>
      </c>
      <c r="K8">
        <v>0.1</v>
      </c>
      <c r="L8" s="5">
        <v>0.898565076137392</v>
      </c>
      <c r="M8" s="5">
        <v>2.9128144483796636E-2</v>
      </c>
      <c r="N8" s="5">
        <v>7.256545545790534E-2</v>
      </c>
      <c r="O8" s="5">
        <v>0.38937705365150505</v>
      </c>
      <c r="P8" s="5">
        <v>0.2744318819454602</v>
      </c>
      <c r="Q8" s="5">
        <v>0.33619106440195573</v>
      </c>
      <c r="R8" s="5">
        <v>28519.69956924194</v>
      </c>
      <c r="S8" s="5" t="s">
        <v>17</v>
      </c>
      <c r="T8" s="5">
        <f t="shared" si="0"/>
        <v>16580609.44940985</v>
      </c>
      <c r="U8" s="5">
        <f t="shared" si="9"/>
        <v>11685968.169754365</v>
      </c>
      <c r="V8" s="5">
        <f t="shared" si="1"/>
        <v>14315822.380789841</v>
      </c>
      <c r="X8">
        <f t="shared" si="2"/>
        <v>344367517.48301595</v>
      </c>
      <c r="Y8">
        <f t="shared" si="3"/>
        <v>11163116.697001398</v>
      </c>
      <c r="Z8">
        <f t="shared" si="4"/>
        <v>27810101.254416376</v>
      </c>
      <c r="AB8">
        <f t="shared" si="5"/>
        <v>17582882.516984046</v>
      </c>
      <c r="AC8" s="1">
        <f t="shared" si="6"/>
        <v>4.8578154678055464E-2</v>
      </c>
      <c r="AD8" s="1">
        <f t="shared" si="7"/>
        <v>0.5488637638909204</v>
      </c>
      <c r="AE8" s="1">
        <f t="shared" si="8"/>
        <v>0.33619106440195573</v>
      </c>
    </row>
    <row r="9" spans="1:31" x14ac:dyDescent="0.25">
      <c r="B9" s="6" t="s">
        <v>6</v>
      </c>
      <c r="C9" s="6">
        <v>788.64</v>
      </c>
      <c r="D9">
        <f>C9/76</f>
        <v>10.376842105263158</v>
      </c>
      <c r="J9">
        <f>N8/0.1</f>
        <v>0.72565455457905337</v>
      </c>
      <c r="K9">
        <v>0.12000000000000001</v>
      </c>
      <c r="L9" s="5">
        <v>0.90800953413329133</v>
      </c>
      <c r="M9" s="5">
        <v>2.563208895016383E-2</v>
      </c>
      <c r="N9" s="5">
        <v>6.6573964345540554E-2</v>
      </c>
      <c r="O9" s="5">
        <v>0.42722242742404326</v>
      </c>
      <c r="P9" s="5">
        <v>0.24715427854922964</v>
      </c>
      <c r="Q9" s="5">
        <v>0.32562329402718498</v>
      </c>
      <c r="R9" s="5">
        <v>35907.654261247466</v>
      </c>
      <c r="S9" s="5" t="s">
        <v>17</v>
      </c>
      <c r="T9" s="5">
        <f t="shared" si="0"/>
        <v>21830587.552249897</v>
      </c>
      <c r="U9" s="5">
        <f t="shared" si="9"/>
        <v>12629306.821073661</v>
      </c>
      <c r="V9" s="5">
        <f t="shared" si="1"/>
        <v>16638985.626699843</v>
      </c>
      <c r="X9">
        <f t="shared" si="2"/>
        <v>340253981.6392417</v>
      </c>
      <c r="Y9">
        <f t="shared" si="3"/>
        <v>9604987.6077008154</v>
      </c>
      <c r="Z9">
        <f t="shared" si="4"/>
        <v>24946936.778258406</v>
      </c>
      <c r="AB9">
        <f t="shared" si="5"/>
        <v>21696418.360758305</v>
      </c>
      <c r="AC9" s="1">
        <f t="shared" si="6"/>
        <v>5.9943070544357192E-2</v>
      </c>
      <c r="AD9" s="1">
        <f t="shared" si="7"/>
        <v>0.59317026851815124</v>
      </c>
      <c r="AE9" s="1">
        <f t="shared" si="8"/>
        <v>0.39074795283262198</v>
      </c>
    </row>
    <row r="10" spans="1:31" x14ac:dyDescent="0.25">
      <c r="B10" s="6" t="s">
        <v>30</v>
      </c>
      <c r="C10" s="6">
        <v>0.1</v>
      </c>
      <c r="E10" t="s">
        <v>32</v>
      </c>
      <c r="F10">
        <f>C4*C3</f>
        <v>361950400</v>
      </c>
      <c r="K10">
        <v>0.14000000000000001</v>
      </c>
      <c r="L10" s="5">
        <v>0.9172309421299073</v>
      </c>
      <c r="M10" s="5">
        <v>2.2396334762195089E-2</v>
      </c>
      <c r="N10" s="5">
        <v>6.0549561329688362E-2</v>
      </c>
      <c r="O10" s="5">
        <v>0.46762030082002254</v>
      </c>
      <c r="P10" s="5">
        <v>0.22060218459489725</v>
      </c>
      <c r="Q10" s="5">
        <v>0.31177751458365516</v>
      </c>
      <c r="R10" s="5">
        <v>43972.04295267578</v>
      </c>
      <c r="S10" s="5" t="s">
        <v>17</v>
      </c>
      <c r="T10" s="5">
        <f t="shared" si="0"/>
        <v>27877352.576693941</v>
      </c>
      <c r="U10" s="5">
        <f t="shared" si="9"/>
        <v>13151278.651411256</v>
      </c>
      <c r="V10" s="5">
        <f t="shared" si="1"/>
        <v>18586728.771809854</v>
      </c>
      <c r="X10">
        <f t="shared" si="2"/>
        <v>335897895.88331205</v>
      </c>
      <c r="Y10">
        <f t="shared" si="3"/>
        <v>8201731.2942481861</v>
      </c>
      <c r="Z10">
        <f t="shared" si="4"/>
        <v>22173772.507141765</v>
      </c>
      <c r="AB10">
        <f t="shared" si="5"/>
        <v>26052504.116687953</v>
      </c>
      <c r="AC10" s="1">
        <f t="shared" si="6"/>
        <v>7.1978105609740869E-2</v>
      </c>
      <c r="AD10" s="1">
        <f t="shared" si="7"/>
        <v>0.6176861168657124</v>
      </c>
      <c r="AE10" s="1">
        <f t="shared" si="8"/>
        <v>0.43648852041711728</v>
      </c>
    </row>
    <row r="11" spans="1:31" x14ac:dyDescent="0.25">
      <c r="B11" s="6" t="s">
        <v>31</v>
      </c>
      <c r="C11" s="6">
        <v>0.38000000000000006</v>
      </c>
      <c r="E11" t="s">
        <v>33</v>
      </c>
      <c r="F11">
        <f>D4*C3+E4*(1-C11)*C3</f>
        <v>666981488.30532753</v>
      </c>
      <c r="K11">
        <v>0.16</v>
      </c>
      <c r="L11" s="5">
        <v>0.92614677182579275</v>
      </c>
      <c r="M11" s="5">
        <v>1.9427958850264857E-2</v>
      </c>
      <c r="N11" s="5">
        <v>5.4567943395070102E-2</v>
      </c>
      <c r="O11" s="5">
        <v>0.51008711171872734</v>
      </c>
      <c r="P11" s="5">
        <v>0.19510031894618315</v>
      </c>
      <c r="Q11" s="5">
        <v>0.29481256933338207</v>
      </c>
      <c r="R11" s="5">
        <v>52751.077846023429</v>
      </c>
      <c r="S11" s="5" t="s">
        <v>17</v>
      </c>
      <c r="T11" s="5">
        <f t="shared" si="0"/>
        <v>34753173.481682457</v>
      </c>
      <c r="U11" s="5">
        <f t="shared" si="9"/>
        <v>13292543.714390321</v>
      </c>
      <c r="V11" s="5">
        <f t="shared" si="1"/>
        <v>20086122.803810894</v>
      </c>
      <c r="X11">
        <f t="shared" si="2"/>
        <v>331275439.29139495</v>
      </c>
      <c r="Y11">
        <f t="shared" si="3"/>
        <v>6949228.5655423533</v>
      </c>
      <c r="Z11">
        <f t="shared" si="4"/>
        <v>19518525.539740358</v>
      </c>
      <c r="AB11">
        <f t="shared" si="5"/>
        <v>30674960.708605051</v>
      </c>
      <c r="AC11" s="1">
        <f t="shared" si="6"/>
        <v>8.4749072548628346E-2</v>
      </c>
      <c r="AD11" s="1">
        <f t="shared" si="7"/>
        <v>0.62432102062778616</v>
      </c>
      <c r="AE11" s="1">
        <f t="shared" si="8"/>
        <v>0.47170011093341135</v>
      </c>
    </row>
    <row r="12" spans="1:31" x14ac:dyDescent="0.25">
      <c r="E12" t="s">
        <v>34</v>
      </c>
      <c r="F12">
        <f>(F11-F10)^2/C3^2</f>
        <v>0.51313062830332123</v>
      </c>
      <c r="K12">
        <v>0.18</v>
      </c>
      <c r="L12" s="5">
        <v>0.9346753971531484</v>
      </c>
      <c r="M12" s="5">
        <v>1.6729448595455332E-2</v>
      </c>
      <c r="N12" s="5">
        <v>4.8708318372184443E-2</v>
      </c>
      <c r="O12" s="5">
        <v>0.55397326869244723</v>
      </c>
      <c r="P12" s="5">
        <v>0.17094107250565807</v>
      </c>
      <c r="Q12" s="5">
        <v>0.27508565880030805</v>
      </c>
      <c r="R12" s="5">
        <v>62271.260634065766</v>
      </c>
      <c r="S12" s="5" t="s">
        <v>17</v>
      </c>
      <c r="T12" s="5">
        <f t="shared" si="0"/>
        <v>42461120.370184675</v>
      </c>
      <c r="U12" s="5">
        <f t="shared" si="9"/>
        <v>13102346.026556881</v>
      </c>
      <c r="V12" s="5">
        <f t="shared" si="1"/>
        <v>21084853.603136826</v>
      </c>
      <c r="X12">
        <f t="shared" si="2"/>
        <v>326365917.38022065</v>
      </c>
      <c r="Y12">
        <f t="shared" si="3"/>
        <v>5841516.5893431613</v>
      </c>
      <c r="Z12">
        <f t="shared" si="4"/>
        <v>17007760.189263999</v>
      </c>
      <c r="AB12">
        <f t="shared" si="5"/>
        <v>35584482.619779348</v>
      </c>
      <c r="AC12" s="1">
        <f t="shared" si="6"/>
        <v>9.8313146275786259E-2</v>
      </c>
      <c r="AD12" s="1">
        <f t="shared" si="7"/>
        <v>0.61538786102036902</v>
      </c>
      <c r="AE12" s="1">
        <f t="shared" si="8"/>
        <v>0.49515418584055448</v>
      </c>
    </row>
    <row r="13" spans="1:31" x14ac:dyDescent="0.25">
      <c r="K13">
        <v>0.19999999999999998</v>
      </c>
      <c r="L13" s="5">
        <v>0.94274065634593041</v>
      </c>
      <c r="M13" s="5">
        <v>1.4298666935247414E-2</v>
      </c>
      <c r="N13" s="5">
        <v>4.3048884861481354E-2</v>
      </c>
      <c r="O13" s="5">
        <v>0.59849744933673521</v>
      </c>
      <c r="P13" s="5">
        <v>0.14836818494091333</v>
      </c>
      <c r="Q13" s="5">
        <v>0.25313436572070452</v>
      </c>
      <c r="R13" s="5">
        <v>72544.326741076336</v>
      </c>
      <c r="S13" s="5" t="s">
        <v>17</v>
      </c>
      <c r="T13" s="5">
        <f t="shared" si="0"/>
        <v>50970915.573273182</v>
      </c>
      <c r="U13" s="5">
        <f t="shared" si="9"/>
        <v>12635746.796855895</v>
      </c>
      <c r="V13" s="5">
        <f t="shared" si="1"/>
        <v>21558137.629730657</v>
      </c>
      <c r="X13">
        <f t="shared" si="2"/>
        <v>321153277.79827958</v>
      </c>
      <c r="Y13">
        <f t="shared" si="3"/>
        <v>4870972.4392278362</v>
      </c>
      <c r="Z13">
        <f t="shared" si="4"/>
        <v>14664998.677804349</v>
      </c>
      <c r="AB13">
        <f t="shared" si="5"/>
        <v>40797122.201720417</v>
      </c>
      <c r="AC13" s="1">
        <f t="shared" si="6"/>
        <v>0.11271467638030078</v>
      </c>
      <c r="AD13" s="1">
        <f t="shared" si="7"/>
        <v>0.59347273976365333</v>
      </c>
      <c r="AE13" s="1">
        <f t="shared" si="8"/>
        <v>0.50626873144140905</v>
      </c>
    </row>
    <row r="14" spans="1:31" x14ac:dyDescent="0.25">
      <c r="C14">
        <f>C3*C4*0.0257</f>
        <v>9302125.2799999993</v>
      </c>
      <c r="G14" t="s">
        <v>37</v>
      </c>
      <c r="H14">
        <f>L18</f>
        <v>0.9743327294269194</v>
      </c>
      <c r="I14">
        <f>M18</f>
        <v>5.8102727537922812E-3</v>
      </c>
      <c r="J14">
        <f>N18</f>
        <v>1.9876449042733516E-2</v>
      </c>
      <c r="K14">
        <v>0.21999999999999997</v>
      </c>
      <c r="L14" s="5">
        <v>0.95027638442189677</v>
      </c>
      <c r="M14" s="5">
        <v>1.2129091131178316E-2</v>
      </c>
      <c r="N14" s="5">
        <v>3.7662077659962809E-2</v>
      </c>
      <c r="O14" s="5">
        <v>0.64280276311881379</v>
      </c>
      <c r="P14" s="5">
        <v>0.12756509855947573</v>
      </c>
      <c r="Q14" s="5">
        <v>0.22963213832015728</v>
      </c>
      <c r="R14" s="5">
        <v>83565.309081814921</v>
      </c>
      <c r="S14" s="5" t="s">
        <v>17</v>
      </c>
      <c r="T14" s="5">
        <f t="shared" si="0"/>
        <v>60218585.636507265</v>
      </c>
      <c r="U14" s="5">
        <f t="shared" si="9"/>
        <v>11950461.716377841</v>
      </c>
      <c r="V14" s="5">
        <f t="shared" si="1"/>
        <v>21512232.646969382</v>
      </c>
      <c r="X14">
        <f t="shared" si="2"/>
        <v>315627383.07365441</v>
      </c>
      <c r="Y14">
        <f t="shared" si="3"/>
        <v>4028589.3194374433</v>
      </c>
      <c r="Z14">
        <f t="shared" si="4"/>
        <v>12509184.914831283</v>
      </c>
      <c r="AB14">
        <f t="shared" si="5"/>
        <v>46323016.926345587</v>
      </c>
      <c r="AC14" s="1">
        <f t="shared" si="6"/>
        <v>0.12798167076578887</v>
      </c>
      <c r="AD14" s="1">
        <f t="shared" si="7"/>
        <v>0.56128643366169317</v>
      </c>
      <c r="AE14" s="1">
        <f t="shared" si="8"/>
        <v>0.50519070430434598</v>
      </c>
    </row>
    <row r="15" spans="1:31" x14ac:dyDescent="0.25">
      <c r="F15">
        <v>0.2</v>
      </c>
      <c r="G15" s="3" t="s">
        <v>38</v>
      </c>
      <c r="H15">
        <f>O13</f>
        <v>0.59849744933673521</v>
      </c>
      <c r="I15" s="3">
        <f t="shared" ref="I15:J15" si="10">P13</f>
        <v>0.14836818494091333</v>
      </c>
      <c r="J15" s="3">
        <f t="shared" si="10"/>
        <v>0.25313436572070452</v>
      </c>
      <c r="K15">
        <v>0.23999999999999996</v>
      </c>
      <c r="L15" s="5">
        <v>0.95723029671003834</v>
      </c>
      <c r="M15" s="5">
        <v>1.0210293554639574E-2</v>
      </c>
      <c r="N15" s="5">
        <v>3.2610233958378747E-2</v>
      </c>
      <c r="O15" s="5">
        <v>0.68602588247917318</v>
      </c>
      <c r="P15" s="5">
        <v>0.10864923232293419</v>
      </c>
      <c r="Q15" s="5">
        <v>0.20532488519764111</v>
      </c>
      <c r="R15" s="5">
        <v>95312.174023157277</v>
      </c>
      <c r="S15" s="5" t="s">
        <v>17</v>
      </c>
      <c r="T15" s="5">
        <f t="shared" si="0"/>
        <v>70110308.491394728</v>
      </c>
      <c r="U15" s="5">
        <f t="shared" si="9"/>
        <v>11103708.169123469</v>
      </c>
      <c r="V15" s="5">
        <f t="shared" si="1"/>
        <v>20983743.339456074</v>
      </c>
      <c r="X15">
        <f t="shared" si="2"/>
        <v>309784841.73835409</v>
      </c>
      <c r="Y15">
        <f t="shared" si="3"/>
        <v>3304318.91238424</v>
      </c>
      <c r="Z15">
        <f t="shared" si="4"/>
        <v>10553527.40147043</v>
      </c>
      <c r="AB15">
        <f t="shared" si="5"/>
        <v>52165558.261645913</v>
      </c>
      <c r="AC15" s="1">
        <f t="shared" si="6"/>
        <v>0.14412349941220098</v>
      </c>
      <c r="AD15" s="1">
        <f t="shared" si="7"/>
        <v>0.52151631515008401</v>
      </c>
      <c r="AE15" s="1">
        <f t="shared" si="8"/>
        <v>0.49277972447433854</v>
      </c>
    </row>
    <row r="16" spans="1:31" x14ac:dyDescent="0.25">
      <c r="B16" t="s">
        <v>29</v>
      </c>
      <c r="C16">
        <v>425824000</v>
      </c>
      <c r="F16">
        <f>F15*C3</f>
        <v>85164800</v>
      </c>
      <c r="H16">
        <f>H15*$F$16</f>
        <v>50970915.573273189</v>
      </c>
      <c r="I16" s="3">
        <f t="shared" ref="I16:J16" si="11">I15*$F$16</f>
        <v>12635746.796855897</v>
      </c>
      <c r="J16" s="3">
        <f t="shared" si="11"/>
        <v>21558137.629730657</v>
      </c>
      <c r="K16">
        <v>0.25999999999999995</v>
      </c>
      <c r="L16" s="5">
        <v>0.96356668944300727</v>
      </c>
      <c r="M16" s="5">
        <v>8.5286036088562441E-3</v>
      </c>
      <c r="N16" s="5">
        <v>2.7942270411371657E-2</v>
      </c>
      <c r="O16" s="5">
        <v>0.72736673401422303</v>
      </c>
      <c r="P16" s="5">
        <v>9.167231183762313E-2</v>
      </c>
      <c r="Q16" s="5">
        <v>0.18096095414802366</v>
      </c>
      <c r="R16" s="5">
        <v>107747.16485423394</v>
      </c>
      <c r="S16" s="5" t="s">
        <v>17</v>
      </c>
      <c r="T16" s="5">
        <f t="shared" si="0"/>
        <v>80529855.157666847</v>
      </c>
      <c r="U16" s="5">
        <f t="shared" si="9"/>
        <v>10149430.334145445</v>
      </c>
      <c r="V16" s="5">
        <f t="shared" si="1"/>
        <v>20034954.508173283</v>
      </c>
      <c r="X16">
        <f t="shared" si="2"/>
        <v>303629268.25438058</v>
      </c>
      <c r="Y16">
        <f t="shared" si="3"/>
        <v>2687446.2363218251</v>
      </c>
      <c r="Z16">
        <f t="shared" si="4"/>
        <v>8804882.1231824234</v>
      </c>
      <c r="AB16">
        <f t="shared" si="5"/>
        <v>58321131.745619416</v>
      </c>
      <c r="AC16" s="1">
        <f t="shared" si="6"/>
        <v>0.16113017624961712</v>
      </c>
      <c r="AD16" s="1">
        <f>U16/(C$3*C$5)</f>
        <v>0.47669602155564011</v>
      </c>
      <c r="AE16" s="1">
        <f t="shared" si="8"/>
        <v>0.47049848078486145</v>
      </c>
    </row>
    <row r="17" spans="1:31" x14ac:dyDescent="0.25">
      <c r="A17" t="s">
        <v>1</v>
      </c>
      <c r="B17">
        <v>5.4004441154700218E-2</v>
      </c>
      <c r="C17">
        <v>0.85</v>
      </c>
      <c r="G17">
        <v>10324</v>
      </c>
      <c r="K17">
        <v>0.27999999999999997</v>
      </c>
      <c r="L17" s="5">
        <v>0.96926764736664384</v>
      </c>
      <c r="M17" s="5">
        <v>7.067873860257378E-3</v>
      </c>
      <c r="N17" s="5">
        <v>2.3691751418686881E-2</v>
      </c>
      <c r="O17" s="5">
        <v>0.76614679654360029</v>
      </c>
      <c r="P17" s="5">
        <v>7.6625868879803646E-2</v>
      </c>
      <c r="Q17" s="5">
        <v>0.15722733457705465</v>
      </c>
      <c r="R17" s="5">
        <v>120819.61410571792</v>
      </c>
      <c r="S17" s="5" t="s">
        <v>17</v>
      </c>
      <c r="T17" s="5">
        <f t="shared" si="0"/>
        <v>91348234.177586958</v>
      </c>
      <c r="U17" s="5">
        <f t="shared" si="9"/>
        <v>9136157.5171645824</v>
      </c>
      <c r="V17" s="5">
        <f t="shared" si="1"/>
        <v>18746328.305303119</v>
      </c>
      <c r="X17">
        <f t="shared" si="2"/>
        <v>297170947.20402271</v>
      </c>
      <c r="Y17">
        <f t="shared" si="3"/>
        <v>2166962.6294425712</v>
      </c>
      <c r="Z17">
        <f t="shared" si="4"/>
        <v>7263731.7763998639</v>
      </c>
      <c r="AB17">
        <f t="shared" si="5"/>
        <v>64779452.795977294</v>
      </c>
      <c r="AC17" s="1">
        <f t="shared" si="6"/>
        <v>0.17897328693648989</v>
      </c>
      <c r="AD17" s="1">
        <f t="shared" si="7"/>
        <v>0.42910486572690043</v>
      </c>
      <c r="AE17" s="1">
        <f t="shared" si="8"/>
        <v>0.44023653681575298</v>
      </c>
    </row>
    <row r="18" spans="1:31" x14ac:dyDescent="0.25">
      <c r="A18" t="s">
        <v>2</v>
      </c>
      <c r="B18">
        <v>4.0503330866025165</v>
      </c>
      <c r="C18">
        <v>0.05</v>
      </c>
      <c r="G18">
        <v>788.64</v>
      </c>
      <c r="K18">
        <v>0.3</v>
      </c>
      <c r="L18" s="5">
        <v>0.9743327294269194</v>
      </c>
      <c r="M18" s="5">
        <v>5.8102727537922812E-3</v>
      </c>
      <c r="N18" s="5">
        <v>1.9876449042733516E-2</v>
      </c>
      <c r="O18" s="5">
        <v>0.80184792961057427</v>
      </c>
      <c r="P18" s="5">
        <v>6.3450368051999551E-2</v>
      </c>
      <c r="Q18" s="5">
        <v>0.13470170237159046</v>
      </c>
      <c r="R18" s="5">
        <v>134469.695510285</v>
      </c>
      <c r="S18" s="5" t="s">
        <v>17</v>
      </c>
      <c r="T18" s="5">
        <f t="shared" si="0"/>
        <v>102433827.83354795</v>
      </c>
      <c r="U18" s="5">
        <f t="shared" si="9"/>
        <v>8105606.8576123966</v>
      </c>
      <c r="V18" s="5">
        <f t="shared" si="1"/>
        <v>17207765.313204039</v>
      </c>
      <c r="X18">
        <f t="shared" si="2"/>
        <v>290425982.12284195</v>
      </c>
      <c r="Y18">
        <f t="shared" si="3"/>
        <v>1731907.509577591</v>
      </c>
      <c r="Z18">
        <f t="shared" si="4"/>
        <v>5924708.3260210687</v>
      </c>
      <c r="AB18">
        <f t="shared" si="5"/>
        <v>71524417.877158046</v>
      </c>
      <c r="AC18" s="1">
        <f t="shared" si="6"/>
        <v>0.19760834047194878</v>
      </c>
      <c r="AD18" s="1">
        <f t="shared" si="7"/>
        <v>0.3807022083119973</v>
      </c>
      <c r="AE18" s="1">
        <f t="shared" si="8"/>
        <v>0.40410510711477132</v>
      </c>
    </row>
    <row r="19" spans="1:31" x14ac:dyDescent="0.25">
      <c r="A19" t="s">
        <v>3</v>
      </c>
      <c r="B19">
        <v>0.86407105847520349</v>
      </c>
      <c r="C19">
        <v>0.1</v>
      </c>
      <c r="K19">
        <v>0.32</v>
      </c>
      <c r="L19" s="5">
        <v>0.97877735278466471</v>
      </c>
      <c r="M19" s="5">
        <v>4.7370382651391214E-3</v>
      </c>
      <c r="N19" s="5">
        <v>1.6499235709531841E-2</v>
      </c>
      <c r="O19" s="5">
        <v>0.83412901356438551</v>
      </c>
      <c r="P19" s="5">
        <v>5.2046228505910036E-2</v>
      </c>
      <c r="Q19" s="5">
        <v>0.11382475793097974</v>
      </c>
      <c r="R19" s="5">
        <v>148632.47351925529</v>
      </c>
      <c r="S19" s="5" t="s">
        <v>17</v>
      </c>
      <c r="T19" s="5">
        <f t="shared" si="0"/>
        <v>113661488.98305309</v>
      </c>
      <c r="U19" s="5">
        <f t="shared" si="9"/>
        <v>7092010.6263362039</v>
      </c>
      <c r="V19" s="5">
        <f t="shared" si="1"/>
        <v>15510180.390784485</v>
      </c>
      <c r="X19">
        <f t="shared" si="2"/>
        <v>283415083.48108041</v>
      </c>
      <c r="Y19">
        <f t="shared" si="3"/>
        <v>1371658.3159059288</v>
      </c>
      <c r="Z19">
        <f t="shared" si="4"/>
        <v>4777523.9718074668</v>
      </c>
      <c r="AB19">
        <f t="shared" si="5"/>
        <v>78535316.518919587</v>
      </c>
      <c r="AC19" s="1">
        <f t="shared" si="6"/>
        <v>0.21697811777226822</v>
      </c>
      <c r="AD19" s="1">
        <f t="shared" si="7"/>
        <v>0.33309586243782424</v>
      </c>
      <c r="AE19" s="1">
        <f t="shared" si="8"/>
        <v>0.36423922537913517</v>
      </c>
    </row>
    <row r="20" spans="1:31" x14ac:dyDescent="0.25">
      <c r="A20" t="s">
        <v>18</v>
      </c>
      <c r="B20">
        <v>0.4</v>
      </c>
      <c r="K20">
        <v>0.34</v>
      </c>
      <c r="L20" s="5">
        <v>0.98263025210081512</v>
      </c>
      <c r="M20" s="5">
        <v>3.829145919518892E-3</v>
      </c>
      <c r="N20" s="5">
        <v>1.3549977460397055E-2</v>
      </c>
      <c r="O20" s="5">
        <v>0.86282245592041218</v>
      </c>
      <c r="P20" s="5">
        <v>4.2285204157714078E-2</v>
      </c>
      <c r="Q20" s="5">
        <v>9.4892339921307065E-2</v>
      </c>
      <c r="R20" s="5">
        <v>163241.67856941427</v>
      </c>
      <c r="S20" s="5" t="s">
        <v>17</v>
      </c>
      <c r="T20" s="5">
        <f t="shared" si="0"/>
        <v>124919573.21975023</v>
      </c>
      <c r="U20" s="5">
        <f t="shared" si="9"/>
        <v>6122058.6235865094</v>
      </c>
      <c r="V20" s="5">
        <f t="shared" si="1"/>
        <v>13738528.156581225</v>
      </c>
      <c r="X20">
        <f t="shared" si="2"/>
        <v>276162179.35058111</v>
      </c>
      <c r="Y20">
        <f t="shared" si="3"/>
        <v>1076157.8731419202</v>
      </c>
      <c r="Z20">
        <f t="shared" si="4"/>
        <v>3808137.6973834354</v>
      </c>
      <c r="AB20">
        <f t="shared" si="5"/>
        <v>85788220.64941889</v>
      </c>
      <c r="AC20" s="1">
        <f t="shared" si="6"/>
        <v>0.23701651013348485</v>
      </c>
      <c r="AD20" s="1">
        <f t="shared" si="7"/>
        <v>0.28753938827245573</v>
      </c>
      <c r="AE20" s="1">
        <f t="shared" si="8"/>
        <v>0.32263395573244402</v>
      </c>
    </row>
    <row r="21" spans="1:31" x14ac:dyDescent="0.25">
      <c r="J21" s="2"/>
      <c r="K21">
        <v>0.36000000000000004</v>
      </c>
      <c r="L21" s="5">
        <v>0.98593043965291338</v>
      </c>
      <c r="M21" s="5">
        <v>3.0678649762181471E-3</v>
      </c>
      <c r="N21" s="5">
        <v>1.1008028633493617E-2</v>
      </c>
      <c r="O21" s="5">
        <v>0.88791558206341181</v>
      </c>
      <c r="P21" s="5">
        <v>3.4020993114009947E-2</v>
      </c>
      <c r="Q21" s="5">
        <v>7.8063424822812519E-2</v>
      </c>
      <c r="R21" s="5">
        <v>178232.82278392077</v>
      </c>
      <c r="S21" s="5"/>
      <c r="T21" s="5">
        <f t="shared" ref="T21:T23" si="12">O21*K21*$C$3</f>
        <v>136114475.3339653</v>
      </c>
      <c r="U21" s="5">
        <f t="shared" ref="U21:U22" si="13">P21*K21*$C$3</f>
        <v>5215303.9338408625</v>
      </c>
      <c r="V21" s="5">
        <f t="shared" ref="V21:V23" si="14">Q21*K21*$C$3</f>
        <v>11966860.732229756</v>
      </c>
      <c r="X21">
        <f t="shared" ref="X21:X23" si="15">L21*(1-K21)*$C$3</f>
        <v>268693019.86224777</v>
      </c>
      <c r="Y21">
        <f t="shared" ref="Y21:Y23" si="16">M21*(1-K21)*$C$3</f>
        <v>836077.14280519425</v>
      </c>
      <c r="Z21">
        <f t="shared" ref="Z21:Z23" si="17">N21*(1-K21)*$C$3</f>
        <v>2999988.9822904225</v>
      </c>
      <c r="AB21">
        <f t="shared" ref="AB21:AB23" si="18">C$3*C$4-X21</f>
        <v>93257380.137752235</v>
      </c>
      <c r="AC21" s="1">
        <f t="shared" ref="AC21:AC23" si="19">AB21/(C$3*C$4)</f>
        <v>0.25765237484957121</v>
      </c>
      <c r="AD21" s="1">
        <f t="shared" ref="AD21:AD23" si="20">U21/(C$3*C$5)</f>
        <v>0.24495115042087165</v>
      </c>
      <c r="AE21" s="1">
        <f t="shared" ref="AE21:AE23" si="21">V21/(C$3*C$6)</f>
        <v>0.28102832936212513</v>
      </c>
    </row>
    <row r="22" spans="1:31" x14ac:dyDescent="0.25">
      <c r="K22">
        <v>0.38000000000000006</v>
      </c>
      <c r="L22" s="5">
        <v>0.98872405321259393</v>
      </c>
      <c r="M22" s="5">
        <v>2.4351941020314218E-3</v>
      </c>
      <c r="N22" s="5">
        <v>8.8449513370639742E-3</v>
      </c>
      <c r="O22" s="5">
        <v>0.90952291028755095</v>
      </c>
      <c r="P22" s="5">
        <v>2.7098397503010584E-2</v>
      </c>
      <c r="Q22" s="5">
        <v>6.3378692211088897E-2</v>
      </c>
      <c r="R22" s="5">
        <v>193545.48496399625</v>
      </c>
      <c r="S22" s="5"/>
      <c r="T22" s="5">
        <f t="shared" si="12"/>
        <v>147172739.82510874</v>
      </c>
      <c r="U22" s="5">
        <f t="shared" si="13"/>
        <v>4384876.2469623527</v>
      </c>
      <c r="V22" s="5">
        <f t="shared" si="14"/>
        <v>10255503.928195994</v>
      </c>
      <c r="X22">
        <f t="shared" si="15"/>
        <v>261033907.36582372</v>
      </c>
      <c r="Y22">
        <f t="shared" si="16"/>
        <v>642917.73784812528</v>
      </c>
      <c r="Z22">
        <f t="shared" si="17"/>
        <v>2335163.386055436</v>
      </c>
      <c r="AB22">
        <f t="shared" si="18"/>
        <v>100916492.63417628</v>
      </c>
      <c r="AC22" s="1">
        <f t="shared" si="19"/>
        <v>0.27881304353904923</v>
      </c>
      <c r="AD22" s="1">
        <f t="shared" si="20"/>
        <v>0.20594782102288048</v>
      </c>
      <c r="AE22" s="1">
        <f t="shared" si="21"/>
        <v>0.24083903040213783</v>
      </c>
    </row>
    <row r="23" spans="1:31" x14ac:dyDescent="0.25">
      <c r="K23">
        <v>0.40000000000000008</v>
      </c>
      <c r="L23" s="5">
        <v>0.99106138953470324</v>
      </c>
      <c r="M23" s="5">
        <v>1.9141806275877896E-3</v>
      </c>
      <c r="N23" s="5">
        <v>7.0271599745964763E-3</v>
      </c>
      <c r="O23" s="5">
        <v>0.92785480343879079</v>
      </c>
      <c r="P23" s="5">
        <v>2.1360740184202205E-2</v>
      </c>
      <c r="Q23" s="5">
        <v>5.078445637726238E-2</v>
      </c>
      <c r="R23" s="5">
        <v>209124.76947481334</v>
      </c>
      <c r="S23" s="5"/>
      <c r="T23" s="5">
        <f t="shared" si="12"/>
        <v>158041137.52780789</v>
      </c>
      <c r="U23" s="5">
        <f>P23*K23*$C$3</f>
        <v>3638366.3312790887</v>
      </c>
      <c r="V23" s="5">
        <f t="shared" si="14"/>
        <v>8650096.1409565527</v>
      </c>
      <c r="X23">
        <f t="shared" si="15"/>
        <v>253210635.0823352</v>
      </c>
      <c r="Y23">
        <f t="shared" si="16"/>
        <v>489062.43093716563</v>
      </c>
      <c r="Z23">
        <f t="shared" si="17"/>
        <v>1795400.0214135414</v>
      </c>
      <c r="AB23">
        <f t="shared" si="18"/>
        <v>108739764.9176648</v>
      </c>
      <c r="AC23" s="1">
        <f t="shared" si="19"/>
        <v>0.30042725444609203</v>
      </c>
      <c r="AD23" s="1">
        <f t="shared" si="20"/>
        <v>0.17088592147361767</v>
      </c>
      <c r="AE23" s="1">
        <f t="shared" si="21"/>
        <v>0.20313782550904957</v>
      </c>
    </row>
    <row r="24" spans="1:31" x14ac:dyDescent="0.25">
      <c r="R24">
        <f>R18/10000</f>
        <v>13.4469695510285</v>
      </c>
      <c r="T24">
        <f t="shared" ref="T24" si="22">O24*K24*$C$3</f>
        <v>0</v>
      </c>
      <c r="U24">
        <f>P24*K24*$C$3</f>
        <v>0</v>
      </c>
      <c r="V24">
        <f t="shared" ref="V24" si="23">Q24*K24*$C$3</f>
        <v>0</v>
      </c>
      <c r="X24">
        <f t="shared" ref="X24" si="24">L24*(1-K24)*$C$3</f>
        <v>0</v>
      </c>
      <c r="Y24">
        <f t="shared" ref="Y24" si="25">M24*(1-K24)*$C$3</f>
        <v>0</v>
      </c>
      <c r="Z24">
        <f t="shared" ref="Z24" si="26">N24*(1-K24)*$C$3</f>
        <v>0</v>
      </c>
      <c r="AB24">
        <f t="shared" ref="AB24" si="27">C$3*C$4-X24</f>
        <v>361950400</v>
      </c>
      <c r="AC24" s="1">
        <f t="shared" ref="AC24" si="28">AB24/(C$3*C$4)</f>
        <v>1</v>
      </c>
      <c r="AD24" s="1">
        <f t="shared" ref="AD24" si="29">U24/(C$3*C$5)</f>
        <v>0</v>
      </c>
      <c r="AE24" s="1">
        <f t="shared" ref="AE24" si="30">V24/(C$3*C$6)</f>
        <v>0</v>
      </c>
    </row>
    <row r="25" spans="1:31" x14ac:dyDescent="0.25">
      <c r="M25" t="s">
        <v>20</v>
      </c>
      <c r="N25" t="s">
        <v>24</v>
      </c>
      <c r="O25" t="s">
        <v>36</v>
      </c>
    </row>
    <row r="26" spans="1:31" x14ac:dyDescent="0.25">
      <c r="L26" t="s">
        <v>35</v>
      </c>
      <c r="M26">
        <f>(0.05-M18)/0.05</f>
        <v>0.88379454492415432</v>
      </c>
      <c r="N26" s="3">
        <f>(0.1-N18)/0.1</f>
        <v>0.80123550957266487</v>
      </c>
      <c r="O26">
        <f>(L18+L9)/2-0.85</f>
        <v>9.1171131780105386E-2</v>
      </c>
    </row>
    <row r="27" spans="1:31" x14ac:dyDescent="0.25">
      <c r="M27">
        <f>P13*K13*C3/(C3*C5)</f>
        <v>0.59347273976365333</v>
      </c>
      <c r="N27" s="3">
        <f>Q13*K13*C3/(C3*C6)</f>
        <v>0.50626873144140905</v>
      </c>
      <c r="O27" s="3">
        <f>O13*K13*C3/(C3*C4)</f>
        <v>0.14082292925570239</v>
      </c>
    </row>
  </sheetData>
  <mergeCells count="1">
    <mergeCell ref="X2:Z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kutta">
                <anchor moveWithCells="1" sizeWithCells="1">
                  <from>
                    <xdr:col>6</xdr:col>
                    <xdr:colOff>219075</xdr:colOff>
                    <xdr:row>10</xdr:row>
                    <xdr:rowOff>9525</xdr:rowOff>
                  </from>
                  <to>
                    <xdr:col>8</xdr:col>
                    <xdr:colOff>200025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E26"/>
  <sheetViews>
    <sheetView workbookViewId="0">
      <selection activeCell="G17" sqref="G17"/>
    </sheetView>
  </sheetViews>
  <sheetFormatPr defaultRowHeight="15" x14ac:dyDescent="0.25"/>
  <cols>
    <col min="1" max="1" width="9.140625" style="3"/>
    <col min="2" max="3" width="12" style="3" bestFit="1" customWidth="1"/>
    <col min="4" max="4" width="9.7109375" style="3" bestFit="1" customWidth="1"/>
    <col min="5" max="5" width="9.140625" style="3"/>
    <col min="6" max="7" width="12" style="3" bestFit="1" customWidth="1"/>
    <col min="8" max="8" width="10" style="3" bestFit="1" customWidth="1"/>
    <col min="9" max="9" width="11" style="3" bestFit="1" customWidth="1"/>
    <col min="10" max="10" width="10" style="3" bestFit="1" customWidth="1"/>
    <col min="11" max="11" width="9.140625" style="3"/>
    <col min="12" max="12" width="12" style="3" bestFit="1" customWidth="1"/>
    <col min="13" max="15" width="9.140625" style="3"/>
    <col min="16" max="16" width="11" style="3" bestFit="1" customWidth="1"/>
    <col min="17" max="23" width="9.140625" style="3"/>
    <col min="24" max="24" width="12" style="3" bestFit="1" customWidth="1"/>
    <col min="25" max="16384" width="9.140625" style="3"/>
  </cols>
  <sheetData>
    <row r="2" spans="1:31" x14ac:dyDescent="0.25">
      <c r="C2" s="3" t="s">
        <v>0</v>
      </c>
      <c r="E2" s="3">
        <v>425824000</v>
      </c>
      <c r="T2" s="3" t="s">
        <v>22</v>
      </c>
      <c r="X2" s="4" t="s">
        <v>23</v>
      </c>
      <c r="Y2" s="4"/>
      <c r="Z2" s="4"/>
    </row>
    <row r="3" spans="1:31" x14ac:dyDescent="0.25">
      <c r="B3" s="3" t="s">
        <v>29</v>
      </c>
      <c r="C3" s="3">
        <f>Sheet1!F16</f>
        <v>85164800</v>
      </c>
      <c r="D3" s="3" t="s">
        <v>9</v>
      </c>
      <c r="E3" s="3" t="s">
        <v>4</v>
      </c>
      <c r="F3" s="3" t="s">
        <v>8</v>
      </c>
      <c r="G3" s="3" t="s">
        <v>7</v>
      </c>
      <c r="H3" s="3">
        <f>B4*(C8*D4-C9*E4)+B5*(C8*D5-C9*E5)+B6*(C8*D6-C9*E6)</f>
        <v>121.6067420581777</v>
      </c>
      <c r="L3" s="3" t="s">
        <v>10</v>
      </c>
      <c r="M3" s="3" t="s">
        <v>11</v>
      </c>
      <c r="N3" s="3" t="s">
        <v>12</v>
      </c>
      <c r="O3" s="3" t="s">
        <v>13</v>
      </c>
      <c r="P3" s="3" t="s">
        <v>14</v>
      </c>
      <c r="Q3" s="3" t="s">
        <v>15</v>
      </c>
      <c r="R3" s="3" t="s">
        <v>16</v>
      </c>
      <c r="T3" s="3" t="s">
        <v>19</v>
      </c>
      <c r="U3" s="3" t="s">
        <v>20</v>
      </c>
      <c r="V3" s="3" t="s">
        <v>21</v>
      </c>
      <c r="X3" s="3" t="s">
        <v>19</v>
      </c>
      <c r="Y3" s="3" t="s">
        <v>20</v>
      </c>
      <c r="Z3" s="3" t="s">
        <v>24</v>
      </c>
      <c r="AA3" s="3" t="s">
        <v>20</v>
      </c>
      <c r="AB3" s="3" t="s">
        <v>25</v>
      </c>
      <c r="AC3" s="3" t="s">
        <v>26</v>
      </c>
      <c r="AD3" s="3" t="s">
        <v>27</v>
      </c>
      <c r="AE3" s="3" t="s">
        <v>28</v>
      </c>
    </row>
    <row r="4" spans="1:31" x14ac:dyDescent="0.25">
      <c r="A4" s="3" t="s">
        <v>1</v>
      </c>
      <c r="B4" s="3">
        <f>0.0000000002/(0.00001)*76/101.325*3600</f>
        <v>5.4004441154700218E-2</v>
      </c>
      <c r="C4" s="3">
        <f>Sheet1!H15</f>
        <v>0.59849744933673521</v>
      </c>
      <c r="D4" s="3">
        <v>0.81525264385448204</v>
      </c>
      <c r="E4" s="3">
        <v>0.27323005734195566</v>
      </c>
      <c r="F4" s="3">
        <f>B4*(C$8*D4-C$9*E4)/H$3</f>
        <v>0.2732294739279541</v>
      </c>
      <c r="G4" s="3">
        <f>(F4-E4)^2</f>
        <v>3.4037189720890761E-13</v>
      </c>
      <c r="K4" s="3">
        <v>0.02</v>
      </c>
      <c r="L4" s="3">
        <v>0.60701945494664322</v>
      </c>
      <c r="M4" s="3">
        <v>0.1434486072606615</v>
      </c>
      <c r="N4" s="3">
        <v>0.25109356778193187</v>
      </c>
      <c r="O4" s="3">
        <v>6.5763100387199749E-2</v>
      </c>
      <c r="P4" s="3">
        <v>0.57416447500567014</v>
      </c>
      <c r="Q4" s="3">
        <v>0.36006943042230821</v>
      </c>
      <c r="R4" s="3">
        <v>4328.1304581509903</v>
      </c>
      <c r="S4" s="3" t="s">
        <v>17</v>
      </c>
      <c r="T4" s="3">
        <f>O4*K4*$C$3</f>
        <v>112014.0258371158</v>
      </c>
      <c r="U4" s="3">
        <f>P4*K4*$C$3</f>
        <v>977972.05361925787</v>
      </c>
      <c r="V4" s="3">
        <f>Q4*K4*$C$3</f>
        <v>613304.82056059595</v>
      </c>
      <c r="X4" s="3">
        <f>L4*(1-K4)*$C$3</f>
        <v>50662756.667107083</v>
      </c>
      <c r="Y4" s="3">
        <f>M4*(1-K4)*$C$3</f>
        <v>11972436.508680129</v>
      </c>
      <c r="Z4" s="3">
        <f>N4*(1-K4)*$C$3</f>
        <v>20956646.811805978</v>
      </c>
      <c r="AB4" s="3">
        <f>C$3*C$4-X4</f>
        <v>308158.90616610646</v>
      </c>
      <c r="AC4" s="1">
        <f>AB4/(C$3*C$4)</f>
        <v>6.0457792978647392E-3</v>
      </c>
      <c r="AD4" s="1">
        <f>U4/(C$3*C$5)</f>
        <v>7.7397249987836314E-2</v>
      </c>
      <c r="AE4" s="1">
        <f>V4/(C$3*C$6)</f>
        <v>2.8448877685741839E-2</v>
      </c>
    </row>
    <row r="5" spans="1:31" x14ac:dyDescent="0.25">
      <c r="A5" s="3" t="s">
        <v>2</v>
      </c>
      <c r="B5" s="3">
        <f>B4*75</f>
        <v>4.0503330866025165</v>
      </c>
      <c r="C5" s="3">
        <f>Sheet1!I15</f>
        <v>0.14836818494091333</v>
      </c>
      <c r="D5" s="3">
        <v>4.456367373687585E-2</v>
      </c>
      <c r="E5" s="3">
        <v>0.26756671216668954</v>
      </c>
      <c r="F5" s="3">
        <f>B5*(C$8*D5-C$9*E5)/H$3</f>
        <v>0.26757023837286958</v>
      </c>
      <c r="G5" s="3">
        <f>(F5-E5)^2</f>
        <v>1.2434130024215422E-11</v>
      </c>
      <c r="K5" s="3">
        <v>0.04</v>
      </c>
      <c r="L5" s="3">
        <v>0.614863779343503</v>
      </c>
      <c r="M5" s="3">
        <v>0.13846261331462431</v>
      </c>
      <c r="N5" s="3">
        <v>0.24882323731025735</v>
      </c>
      <c r="O5" s="3">
        <v>6.8984385189210518E-2</v>
      </c>
      <c r="P5" s="3">
        <v>0.56375420229497153</v>
      </c>
      <c r="Q5" s="3">
        <v>0.36725840260850906</v>
      </c>
      <c r="R5" s="3">
        <v>8809.1799949930937</v>
      </c>
      <c r="S5" s="3" t="s">
        <v>17</v>
      </c>
      <c r="T5" s="3">
        <f t="shared" ref="T5:T24" si="0">O5*K5*$C$3</f>
        <v>235001.65471048307</v>
      </c>
      <c r="U5" s="3">
        <f>P5*K5*$C$3</f>
        <v>1920480.5555044317</v>
      </c>
      <c r="V5" s="3">
        <f t="shared" ref="V5:V24" si="1">Q5*K5*$C$3</f>
        <v>1251099.5362589261</v>
      </c>
      <c r="X5" s="3">
        <f t="shared" ref="X5:X24" si="2">L5*(1-K5)*$C$3</f>
        <v>50270160.763232224</v>
      </c>
      <c r="Y5" s="3">
        <f t="shared" ref="Y5:Y24" si="3">M5*(1-K5)*$C$3</f>
        <v>11320455.139600623</v>
      </c>
      <c r="Z5" s="3">
        <f t="shared" ref="Z5:Z24" si="4">N5*(1-K5)*$C$3</f>
        <v>20343341.991245382</v>
      </c>
      <c r="AB5" s="3">
        <f t="shared" ref="AB5:AB24" si="5">C$3*C$4-X5</f>
        <v>700754.81004096568</v>
      </c>
      <c r="AC5" s="1">
        <f t="shared" ref="AC5:AC24" si="6">AB5/(C$3*C$4)</f>
        <v>1.3748130716498438E-2</v>
      </c>
      <c r="AD5" s="1">
        <f t="shared" ref="AD5:AD24" si="7">U5/(C$3*C$5)</f>
        <v>0.15198789484942016</v>
      </c>
      <c r="AE5" s="1">
        <f t="shared" ref="AE5:AE24" si="8">V5/(C$3*C$6)</f>
        <v>5.8033748450216069E-2</v>
      </c>
    </row>
    <row r="6" spans="1:31" x14ac:dyDescent="0.25">
      <c r="A6" s="3" t="s">
        <v>3</v>
      </c>
      <c r="B6" s="3">
        <f>B4*16</f>
        <v>0.86407105847520349</v>
      </c>
      <c r="C6" s="3">
        <f>Sheet1!J15</f>
        <v>0.25313436572070452</v>
      </c>
      <c r="D6" s="3">
        <v>0.14094486429544376</v>
      </c>
      <c r="E6" s="3">
        <v>0.45919862788378318</v>
      </c>
      <c r="F6" s="3">
        <f>B6*(C$8*D6-C$9*E6)/H$3</f>
        <v>0.4592002876991762</v>
      </c>
      <c r="G6" s="3">
        <f>(F6-E6)^2</f>
        <v>2.7549871388997351E-12</v>
      </c>
      <c r="K6" s="3">
        <v>0.06</v>
      </c>
      <c r="L6" s="3">
        <v>0.62262190895952652</v>
      </c>
      <c r="M6" s="3">
        <v>0.13341211285614155</v>
      </c>
      <c r="N6" s="3">
        <v>0.24630334017625199</v>
      </c>
      <c r="O6" s="3">
        <v>7.247316904273618E-2</v>
      </c>
      <c r="P6" s="3">
        <v>0.55285532175717178</v>
      </c>
      <c r="Q6" s="3">
        <v>0.37466925022027375</v>
      </c>
      <c r="R6" s="3">
        <v>13457.470970888706</v>
      </c>
      <c r="S6" s="3" t="s">
        <v>17</v>
      </c>
      <c r="T6" s="3">
        <f t="shared" si="0"/>
        <v>370329.77681344905</v>
      </c>
      <c r="U6" s="3">
        <f t="shared" ref="U6:U22" si="9">P6*K6*$C$3</f>
        <v>2825028.7743831109</v>
      </c>
      <c r="V6" s="3">
        <f t="shared" si="1"/>
        <v>1914517.9056695739</v>
      </c>
      <c r="X6" s="3">
        <f t="shared" si="2"/>
        <v>49843942.131026901</v>
      </c>
      <c r="Y6" s="3">
        <f t="shared" si="3"/>
        <v>10680294.95443248</v>
      </c>
      <c r="Z6" s="3">
        <f t="shared" si="4"/>
        <v>19717792.223115917</v>
      </c>
      <c r="AB6" s="3">
        <f t="shared" si="5"/>
        <v>1126973.4422462881</v>
      </c>
      <c r="AC6" s="1">
        <f t="shared" si="6"/>
        <v>2.2110127502540315E-2</v>
      </c>
      <c r="AD6" s="1">
        <f t="shared" si="7"/>
        <v>0.2235743418890011</v>
      </c>
      <c r="AE6" s="1">
        <f t="shared" si="8"/>
        <v>8.8807203041012112E-2</v>
      </c>
    </row>
    <row r="7" spans="1:31" x14ac:dyDescent="0.25">
      <c r="A7" s="3" t="s">
        <v>18</v>
      </c>
      <c r="B7" s="3">
        <v>0.4</v>
      </c>
      <c r="D7" s="3">
        <f>SUM(D3:D6)</f>
        <v>1.0007611818868016</v>
      </c>
      <c r="E7" s="3">
        <f>SUM(E6,E5,E4)</f>
        <v>0.99999539739242849</v>
      </c>
      <c r="F7" s="3">
        <f>SUM(F3:F6)</f>
        <v>0.99999999999999989</v>
      </c>
      <c r="G7" s="3">
        <f>SUM(G3:G6)</f>
        <v>1.5529489060324065E-11</v>
      </c>
      <c r="K7" s="3">
        <v>0.08</v>
      </c>
      <c r="L7" s="3">
        <v>0.63054966397237711</v>
      </c>
      <c r="M7" s="3">
        <v>0.12829998021160591</v>
      </c>
      <c r="N7" s="3">
        <v>0.24351277691442544</v>
      </c>
      <c r="O7" s="3">
        <v>7.6292805128102034E-2</v>
      </c>
      <c r="P7" s="3">
        <v>0.54142841133975672</v>
      </c>
      <c r="Q7" s="3">
        <v>0.38227837868556197</v>
      </c>
      <c r="R7" s="3">
        <v>18288.743543998928</v>
      </c>
      <c r="S7" s="3" t="s">
        <v>17</v>
      </c>
      <c r="T7" s="3">
        <f t="shared" si="0"/>
        <v>519796.91921390279</v>
      </c>
      <c r="U7" s="3">
        <f t="shared" si="9"/>
        <v>3688851.3892854494</v>
      </c>
      <c r="V7" s="3">
        <f t="shared" si="1"/>
        <v>2604532.933206412</v>
      </c>
      <c r="X7" s="3">
        <f t="shared" si="2"/>
        <v>49404585.14049273</v>
      </c>
      <c r="Y7" s="3">
        <f t="shared" si="3"/>
        <v>10052510.782347344</v>
      </c>
      <c r="Z7" s="3">
        <f t="shared" si="4"/>
        <v>19079619.587892726</v>
      </c>
      <c r="AB7" s="3">
        <f t="shared" si="5"/>
        <v>1566330.4327804595</v>
      </c>
      <c r="AC7" s="1">
        <f t="shared" si="6"/>
        <v>3.0729886154954051E-2</v>
      </c>
      <c r="AD7" s="1">
        <f t="shared" si="7"/>
        <v>0.29193774207341128</v>
      </c>
      <c r="AE7" s="1">
        <f t="shared" si="8"/>
        <v>0.12081437543169413</v>
      </c>
    </row>
    <row r="8" spans="1:31" x14ac:dyDescent="0.25">
      <c r="B8" s="3" t="s">
        <v>5</v>
      </c>
      <c r="C8" s="3">
        <f>Sheet1!C9</f>
        <v>788.64</v>
      </c>
      <c r="D8" s="3">
        <f>C8/76</f>
        <v>10.376842105263158</v>
      </c>
      <c r="E8" s="3">
        <f>800*(101.325/14.7)</f>
        <v>5514.2857142857147</v>
      </c>
      <c r="J8" s="3">
        <f>R8/10000</f>
        <v>2.3320638707256967</v>
      </c>
      <c r="K8" s="3">
        <v>0.1</v>
      </c>
      <c r="L8" s="3">
        <v>0.6387621112567955</v>
      </c>
      <c r="M8" s="3">
        <v>0.12312992923349705</v>
      </c>
      <c r="N8" s="3">
        <v>0.24042909687506686</v>
      </c>
      <c r="O8" s="3">
        <v>8.0499637646146857E-2</v>
      </c>
      <c r="P8" s="3">
        <v>0.52943804411468076</v>
      </c>
      <c r="Q8" s="3">
        <v>0.39006175588925696</v>
      </c>
      <c r="R8" s="3">
        <v>23320.638707256967</v>
      </c>
      <c r="S8" s="3" t="s">
        <v>17</v>
      </c>
      <c r="T8" s="3">
        <f t="shared" si="0"/>
        <v>685573.55402065685</v>
      </c>
      <c r="U8" s="3">
        <f t="shared" si="9"/>
        <v>4508948.5139417965</v>
      </c>
      <c r="V8" s="3">
        <f t="shared" si="1"/>
        <v>3321953.1427957392</v>
      </c>
      <c r="X8" s="3">
        <f t="shared" si="2"/>
        <v>48960042.707486466</v>
      </c>
      <c r="Y8" s="3">
        <f t="shared" si="3"/>
        <v>9437702.2174664382</v>
      </c>
      <c r="Z8" s="3">
        <f t="shared" si="4"/>
        <v>18428486.354591124</v>
      </c>
      <c r="AB8" s="3">
        <f t="shared" si="5"/>
        <v>2010872.8657867238</v>
      </c>
      <c r="AC8" s="1">
        <f t="shared" si="6"/>
        <v>3.9451378166750713E-2</v>
      </c>
      <c r="AD8" s="1">
        <f t="shared" si="7"/>
        <v>0.35684068274173875</v>
      </c>
      <c r="AE8" s="1">
        <f t="shared" si="8"/>
        <v>0.15409276997167232</v>
      </c>
    </row>
    <row r="9" spans="1:31" x14ac:dyDescent="0.25">
      <c r="B9" s="3" t="s">
        <v>6</v>
      </c>
      <c r="C9" s="3">
        <v>101.325</v>
      </c>
      <c r="D9" s="3">
        <f>C9/76</f>
        <v>1.3332236842105263</v>
      </c>
      <c r="J9" s="3">
        <f>N8/0.1</f>
        <v>2.4042909687506686</v>
      </c>
      <c r="K9" s="3">
        <v>0.12000000000000001</v>
      </c>
      <c r="L9" s="3">
        <v>0.64731690734928282</v>
      </c>
      <c r="M9" s="3">
        <v>0.11790654816888441</v>
      </c>
      <c r="N9" s="3">
        <v>0.23702835462474436</v>
      </c>
      <c r="O9" s="3">
        <v>8.5153376130746625E-2</v>
      </c>
      <c r="P9" s="3">
        <v>0.51685197496219537</v>
      </c>
      <c r="Q9" s="3">
        <v>0.39799157486352521</v>
      </c>
      <c r="R9" s="3">
        <v>28573.120289638533</v>
      </c>
      <c r="S9" s="3" t="s">
        <v>17</v>
      </c>
      <c r="T9" s="3">
        <f t="shared" si="0"/>
        <v>870248.42969997739</v>
      </c>
      <c r="U9" s="3">
        <f t="shared" si="9"/>
        <v>5282111.4092712458</v>
      </c>
      <c r="V9" s="3">
        <f t="shared" si="1"/>
        <v>4067384.7449924587</v>
      </c>
      <c r="X9" s="3">
        <f t="shared" si="2"/>
        <v>48513181.156897783</v>
      </c>
      <c r="Y9" s="3">
        <f t="shared" si="3"/>
        <v>8836509.0822741985</v>
      </c>
      <c r="Z9" s="3">
        <f t="shared" si="4"/>
        <v>17764095.726031978</v>
      </c>
      <c r="AB9" s="3">
        <f t="shared" si="5"/>
        <v>2457734.4163754061</v>
      </c>
      <c r="AC9" s="1">
        <f t="shared" si="6"/>
        <v>4.8218369019530215E-2</v>
      </c>
      <c r="AD9" s="1">
        <f t="shared" si="7"/>
        <v>0.41802922250591257</v>
      </c>
      <c r="AE9" s="1">
        <f t="shared" si="8"/>
        <v>0.18867050646263436</v>
      </c>
    </row>
    <row r="10" spans="1:31" x14ac:dyDescent="0.25">
      <c r="B10" s="3" t="s">
        <v>30</v>
      </c>
      <c r="C10" s="3">
        <v>0.1</v>
      </c>
      <c r="E10" s="3" t="s">
        <v>32</v>
      </c>
      <c r="F10" s="3">
        <f>C4*C3</f>
        <v>50970915.573273189</v>
      </c>
      <c r="K10" s="3">
        <v>0.14000000000000001</v>
      </c>
      <c r="L10" s="3">
        <v>0.65624898645440954</v>
      </c>
      <c r="M10" s="3">
        <v>0.11263535200285543</v>
      </c>
      <c r="N10" s="3">
        <v>0.2332850239215169</v>
      </c>
      <c r="O10" s="3">
        <v>9.0323677991190024E-2</v>
      </c>
      <c r="P10" s="3">
        <v>0.50364243749987547</v>
      </c>
      <c r="Q10" s="3">
        <v>0.40603212576587522</v>
      </c>
      <c r="R10" s="3">
        <v>34068.93849987258</v>
      </c>
      <c r="S10" s="3" t="s">
        <v>17</v>
      </c>
      <c r="T10" s="3">
        <f t="shared" si="0"/>
        <v>1076935.7159937741</v>
      </c>
      <c r="U10" s="3">
        <f t="shared" si="9"/>
        <v>6004965.0445665158</v>
      </c>
      <c r="V10" s="3">
        <f t="shared" si="1"/>
        <v>4841150.2698195856</v>
      </c>
      <c r="X10" s="3">
        <f t="shared" si="2"/>
        <v>48064809.766169541</v>
      </c>
      <c r="Y10" s="3">
        <f t="shared" si="3"/>
        <v>8249607.8145773923</v>
      </c>
      <c r="Z10" s="3">
        <f t="shared" si="4"/>
        <v>17086198.268533234</v>
      </c>
      <c r="AB10" s="3">
        <f t="shared" si="5"/>
        <v>2906105.8071036488</v>
      </c>
      <c r="AC10" s="1">
        <f t="shared" si="6"/>
        <v>5.7014981473620566E-2</v>
      </c>
      <c r="AD10" s="1">
        <f t="shared" si="7"/>
        <v>0.47523625956644744</v>
      </c>
      <c r="AE10" s="1">
        <f t="shared" si="8"/>
        <v>0.22456254584548127</v>
      </c>
    </row>
    <row r="11" spans="1:31" x14ac:dyDescent="0.25">
      <c r="B11" s="3" t="s">
        <v>31</v>
      </c>
      <c r="C11" s="3">
        <v>0.38000000000000006</v>
      </c>
      <c r="E11" s="3" t="s">
        <v>33</v>
      </c>
      <c r="F11" s="3">
        <f>D4*C3+E4*(1-C11)*C3</f>
        <v>83857969.939598218</v>
      </c>
      <c r="K11" s="3">
        <v>0.16</v>
      </c>
      <c r="L11" s="3">
        <v>0.66558464816009655</v>
      </c>
      <c r="M11" s="3">
        <v>0.10732282169340158</v>
      </c>
      <c r="N11" s="3">
        <v>0.22917199768712743</v>
      </c>
      <c r="O11" s="3">
        <v>9.6087940595674715E-2</v>
      </c>
      <c r="P11" s="3">
        <v>0.48977795272457814</v>
      </c>
      <c r="Q11" s="3">
        <v>0.41413194669646364</v>
      </c>
      <c r="R11" s="3">
        <v>39834.185779482039</v>
      </c>
      <c r="S11" s="3" t="s">
        <v>17</v>
      </c>
      <c r="T11" s="3">
        <f t="shared" si="0"/>
        <v>1309329.6389188028</v>
      </c>
      <c r="U11" s="3">
        <f t="shared" si="9"/>
        <v>6673894.6221117042</v>
      </c>
      <c r="V11" s="3">
        <f t="shared" si="1"/>
        <v>5643114.306242398</v>
      </c>
      <c r="X11" s="3">
        <f t="shared" si="2"/>
        <v>47614882.092644989</v>
      </c>
      <c r="Y11" s="3">
        <f t="shared" si="3"/>
        <v>7677706.3817615341</v>
      </c>
      <c r="Z11" s="3">
        <f t="shared" si="4"/>
        <v>16394605.372844722</v>
      </c>
      <c r="AB11" s="3">
        <f t="shared" si="5"/>
        <v>3356033.4806281999</v>
      </c>
      <c r="AC11" s="1">
        <f t="shared" si="6"/>
        <v>6.5842126688969077E-2</v>
      </c>
      <c r="AD11" s="1">
        <f t="shared" si="7"/>
        <v>0.5281757168299972</v>
      </c>
      <c r="AE11" s="1">
        <f t="shared" si="8"/>
        <v>0.26176260691740011</v>
      </c>
    </row>
    <row r="12" spans="1:31" x14ac:dyDescent="0.25">
      <c r="E12" s="3" t="s">
        <v>34</v>
      </c>
      <c r="F12" s="3">
        <f>(F11-F10)^2/C3^2</f>
        <v>0.14911786972418503</v>
      </c>
      <c r="K12" s="3">
        <v>0.18</v>
      </c>
      <c r="L12" s="3">
        <v>0.67534697386964615</v>
      </c>
      <c r="M12" s="3">
        <v>0.10197658234080849</v>
      </c>
      <c r="N12" s="3">
        <v>0.22466077941860704</v>
      </c>
      <c r="O12" s="3">
        <v>0.10253999506536254</v>
      </c>
      <c r="P12" s="3">
        <v>0.47523078110963568</v>
      </c>
      <c r="Q12" s="3">
        <v>0.4222257413016498</v>
      </c>
      <c r="R12" s="3">
        <v>45898.887983663677</v>
      </c>
      <c r="S12" s="3" t="s">
        <v>17</v>
      </c>
      <c r="T12" s="3">
        <f t="shared" si="0"/>
        <v>1571903.6709136658</v>
      </c>
      <c r="U12" s="3">
        <f t="shared" si="9"/>
        <v>7285128.1968682613</v>
      </c>
      <c r="V12" s="3">
        <f t="shared" si="1"/>
        <v>6472578.7463052133</v>
      </c>
      <c r="X12" s="3">
        <f t="shared" si="2"/>
        <v>47162947.767375186</v>
      </c>
      <c r="Y12" s="3">
        <f t="shared" si="3"/>
        <v>7121548.49658556</v>
      </c>
      <c r="Z12" s="3">
        <f t="shared" si="4"/>
        <v>15689216.084564425</v>
      </c>
      <c r="AB12" s="3">
        <f t="shared" si="5"/>
        <v>3807967.8058980033</v>
      </c>
      <c r="AC12" s="1">
        <f t="shared" si="6"/>
        <v>7.4708640468187454E-2</v>
      </c>
      <c r="AD12" s="1">
        <f t="shared" si="7"/>
        <v>0.57654908047706299</v>
      </c>
      <c r="AE12" s="1">
        <f t="shared" si="8"/>
        <v>0.30023830710584809</v>
      </c>
    </row>
    <row r="13" spans="1:31" x14ac:dyDescent="0.25">
      <c r="K13" s="3">
        <v>0.19999999999999998</v>
      </c>
      <c r="L13" s="3">
        <v>0.68555771821577105</v>
      </c>
      <c r="M13" s="3">
        <v>9.6605483880834772E-2</v>
      </c>
      <c r="N13" s="3">
        <v>0.21972165537153099</v>
      </c>
      <c r="O13" s="3">
        <v>0.1097921872171097</v>
      </c>
      <c r="P13" s="3">
        <v>0.45997631739436512</v>
      </c>
      <c r="Q13" s="3">
        <v>0.43023002802409599</v>
      </c>
      <c r="R13" s="3">
        <v>52297.785641974493</v>
      </c>
      <c r="S13" s="3" t="s">
        <v>17</v>
      </c>
      <c r="T13" s="3">
        <f t="shared" si="0"/>
        <v>1870085.9331815408</v>
      </c>
      <c r="U13" s="3">
        <f t="shared" si="9"/>
        <v>7834758.2151255244</v>
      </c>
      <c r="V13" s="3">
        <f t="shared" si="1"/>
        <v>7328090.8581333049</v>
      </c>
      <c r="X13" s="3">
        <f t="shared" si="2"/>
        <v>46708308.768242002</v>
      </c>
      <c r="Y13" s="3">
        <f t="shared" si="3"/>
        <v>6581909.3708916148</v>
      </c>
      <c r="Z13" s="3">
        <f t="shared" si="4"/>
        <v>14970040.668308292</v>
      </c>
      <c r="AB13" s="3">
        <f t="shared" si="5"/>
        <v>4262606.8050311878</v>
      </c>
      <c r="AC13" s="1">
        <f t="shared" si="6"/>
        <v>8.3628217329223403E-2</v>
      </c>
      <c r="AD13" s="1">
        <f t="shared" si="7"/>
        <v>0.62004710454272605</v>
      </c>
      <c r="AE13" s="1">
        <f t="shared" si="8"/>
        <v>0.33992225970517942</v>
      </c>
    </row>
    <row r="14" spans="1:31" x14ac:dyDescent="0.25">
      <c r="G14" s="3" t="s">
        <v>37</v>
      </c>
      <c r="H14" s="3">
        <f>L18</f>
        <v>0.74400358871876315</v>
      </c>
      <c r="I14" s="3">
        <f>M18</f>
        <v>6.9787161601806105E-2</v>
      </c>
      <c r="J14" s="3">
        <f>N18</f>
        <v>0.18754603638355558</v>
      </c>
      <c r="K14" s="3">
        <v>0.21999999999999997</v>
      </c>
      <c r="L14" s="3">
        <v>0.69623774883027345</v>
      </c>
      <c r="M14" s="3">
        <v>9.1219704537704643E-2</v>
      </c>
      <c r="N14" s="3">
        <v>0.21432400479069599</v>
      </c>
      <c r="O14" s="3">
        <v>0.11797718832133507</v>
      </c>
      <c r="P14" s="3">
        <v>0.4439912606566056</v>
      </c>
      <c r="Q14" s="3">
        <v>0.4380282338023237</v>
      </c>
      <c r="R14" s="3">
        <v>59071.283126894479</v>
      </c>
      <c r="S14" s="3" t="s">
        <v>17</v>
      </c>
      <c r="T14" s="3">
        <f t="shared" si="0"/>
        <v>2210450.8025487438</v>
      </c>
      <c r="U14" s="3">
        <f t="shared" si="9"/>
        <v>8318733.921424889</v>
      </c>
      <c r="V14" s="3">
        <f t="shared" si="1"/>
        <v>8207009.1237481888</v>
      </c>
      <c r="X14" s="3">
        <f t="shared" si="2"/>
        <v>46250059.932632767</v>
      </c>
      <c r="Y14" s="3">
        <f t="shared" si="3"/>
        <v>6059592.1565499129</v>
      </c>
      <c r="Z14" s="3">
        <f t="shared" si="4"/>
        <v>14237231.582494961</v>
      </c>
      <c r="AB14" s="3">
        <f t="shared" si="5"/>
        <v>4720855.6406404227</v>
      </c>
      <c r="AC14" s="1">
        <f t="shared" si="6"/>
        <v>9.2618615685919184E-2</v>
      </c>
      <c r="AD14" s="1">
        <f t="shared" si="7"/>
        <v>0.65834920999642121</v>
      </c>
      <c r="AE14" s="1">
        <f t="shared" si="8"/>
        <v>0.38069193474439866</v>
      </c>
    </row>
    <row r="15" spans="1:31" x14ac:dyDescent="0.25">
      <c r="F15" s="3">
        <v>0.4</v>
      </c>
      <c r="G15" s="3" t="s">
        <v>38</v>
      </c>
      <c r="H15" s="3">
        <f>O23</f>
        <v>0.27323005734195566</v>
      </c>
      <c r="I15" s="3">
        <f t="shared" ref="I15:J15" si="10">P23</f>
        <v>0.26756671216668954</v>
      </c>
      <c r="J15" s="3">
        <f t="shared" si="10"/>
        <v>0.45919862788378318</v>
      </c>
      <c r="K15" s="3">
        <v>0.23999999999999996</v>
      </c>
      <c r="L15" s="3">
        <v>0.70740658320896144</v>
      </c>
      <c r="M15" s="3">
        <v>8.5830902715773968E-2</v>
      </c>
      <c r="N15" s="3">
        <v>0.20843705139565316</v>
      </c>
      <c r="O15" s="3">
        <v>0.12725494853073746</v>
      </c>
      <c r="P15" s="3">
        <v>0.42725849531653576</v>
      </c>
      <c r="Q15" s="3">
        <v>0.44548448090897935</v>
      </c>
      <c r="R15" s="3">
        <v>66266.553728082596</v>
      </c>
      <c r="S15" s="3" t="s">
        <v>17</v>
      </c>
      <c r="T15" s="3">
        <f t="shared" si="0"/>
        <v>2601034.1377513316</v>
      </c>
      <c r="U15" s="3">
        <f t="shared" si="9"/>
        <v>8732972.2324640881</v>
      </c>
      <c r="V15" s="3">
        <f t="shared" si="1"/>
        <v>9105503.2127320897</v>
      </c>
      <c r="X15" s="3">
        <f t="shared" si="2"/>
        <v>45787066.535032667</v>
      </c>
      <c r="Y15" s="3">
        <f t="shared" si="3"/>
        <v>5555426.4643423446</v>
      </c>
      <c r="Z15" s="3">
        <f t="shared" si="4"/>
        <v>13491139.843972398</v>
      </c>
      <c r="AB15" s="3">
        <f t="shared" si="5"/>
        <v>5183849.0382405221</v>
      </c>
      <c r="AC15" s="1">
        <f t="shared" si="6"/>
        <v>0.10170209775393352</v>
      </c>
      <c r="AD15" s="1">
        <f t="shared" si="7"/>
        <v>0.69113225936413025</v>
      </c>
      <c r="AE15" s="1">
        <f t="shared" si="8"/>
        <v>0.42236965776555591</v>
      </c>
    </row>
    <row r="16" spans="1:31" x14ac:dyDescent="0.25">
      <c r="F16" s="3">
        <f>F15*C3</f>
        <v>34065920</v>
      </c>
      <c r="H16" s="3">
        <f>H15*$F$16</f>
        <v>9307833.2750064749</v>
      </c>
      <c r="I16" s="3">
        <f t="shared" ref="I16:J16" si="11">I15*$F$16</f>
        <v>9114906.2113334723</v>
      </c>
      <c r="J16" s="3">
        <f t="shared" si="11"/>
        <v>15643023.721598728</v>
      </c>
      <c r="K16" s="3">
        <v>0.25999999999999995</v>
      </c>
      <c r="L16" s="3">
        <v>0.71908177145754337</v>
      </c>
      <c r="M16" s="3">
        <v>8.0452305576262706E-2</v>
      </c>
      <c r="N16" s="3">
        <v>0.20203036411150921</v>
      </c>
      <c r="O16" s="3">
        <v>0.13781587397013459</v>
      </c>
      <c r="P16" s="3">
        <v>0.40976594889441503</v>
      </c>
      <c r="Q16" s="3">
        <v>0.45241600214786015</v>
      </c>
      <c r="R16" s="3">
        <v>73938.985535530039</v>
      </c>
      <c r="S16" s="3" t="s">
        <v>17</v>
      </c>
      <c r="T16" s="3">
        <f t="shared" si="0"/>
        <v>3051635.9493078464</v>
      </c>
      <c r="U16" s="3">
        <f t="shared" si="9"/>
        <v>9073385.1219447982</v>
      </c>
      <c r="V16" s="3">
        <f t="shared" si="1"/>
        <v>10017778.768327739</v>
      </c>
      <c r="X16" s="3">
        <f t="shared" si="2"/>
        <v>45317936.884872273</v>
      </c>
      <c r="Y16" s="3">
        <f t="shared" si="3"/>
        <v>5070261.3403165611</v>
      </c>
      <c r="Z16" s="3">
        <f t="shared" si="4"/>
        <v>12732347.909578055</v>
      </c>
      <c r="AB16" s="3">
        <f t="shared" si="5"/>
        <v>5652978.6884009168</v>
      </c>
      <c r="AC16" s="1">
        <f t="shared" si="6"/>
        <v>0.11090596715443501</v>
      </c>
      <c r="AD16" s="1">
        <f>U16/(C$3*C$5)</f>
        <v>0.71807272398038979</v>
      </c>
      <c r="AE16" s="1">
        <f t="shared" si="8"/>
        <v>0.46468665059973918</v>
      </c>
    </row>
    <row r="17" spans="6:31" x14ac:dyDescent="0.25">
      <c r="F17" s="3">
        <v>10324</v>
      </c>
      <c r="G17" s="3" t="s">
        <v>39</v>
      </c>
      <c r="H17" s="3">
        <f>H16/(Sheet1!C3*Sheet1!C4)</f>
        <v>2.57157701027723E-2</v>
      </c>
      <c r="I17" s="3">
        <f>I16/(Sheet1!C3*Sheet1!C5)</f>
        <v>0.42810673946670325</v>
      </c>
      <c r="J17" s="3">
        <f>J16/(Sheet1!C3*Sheet1!C6)</f>
        <v>0.36735890230702656</v>
      </c>
      <c r="K17" s="3">
        <v>0.27999999999999997</v>
      </c>
      <c r="L17" s="3">
        <v>0.73127762075466729</v>
      </c>
      <c r="M17" s="3">
        <v>7.5098833529410464E-2</v>
      </c>
      <c r="N17" s="3">
        <v>0.19507520749938834</v>
      </c>
      <c r="O17" s="3">
        <v>0.14988990735307334</v>
      </c>
      <c r="P17" s="3">
        <v>0.39151102649334479</v>
      </c>
      <c r="Q17" s="3">
        <v>0.45859619655353456</v>
      </c>
      <c r="R17" s="3">
        <v>82153.85872230641</v>
      </c>
      <c r="S17" s="3" t="s">
        <v>17</v>
      </c>
      <c r="T17" s="3">
        <f t="shared" si="0"/>
        <v>3574296.3148880457</v>
      </c>
      <c r="U17" s="3">
        <f t="shared" si="9"/>
        <v>9336028.3153481148</v>
      </c>
      <c r="V17" s="3">
        <f t="shared" si="1"/>
        <v>10935750.94086789</v>
      </c>
      <c r="X17" s="3">
        <f t="shared" si="2"/>
        <v>44840960.867553897</v>
      </c>
      <c r="Y17" s="3">
        <f t="shared" si="3"/>
        <v>4604959.5391911855</v>
      </c>
      <c r="Z17" s="3">
        <f t="shared" si="4"/>
        <v>11961749.542783614</v>
      </c>
      <c r="AB17" s="3">
        <f t="shared" si="5"/>
        <v>6129954.7057192922</v>
      </c>
      <c r="AC17" s="1">
        <f t="shared" si="6"/>
        <v>0.12026377467964415</v>
      </c>
      <c r="AD17" s="1">
        <f t="shared" si="7"/>
        <v>0.73885845177517817</v>
      </c>
      <c r="AE17" s="1">
        <f t="shared" si="8"/>
        <v>0.50726788782471088</v>
      </c>
    </row>
    <row r="18" spans="6:31" x14ac:dyDescent="0.25">
      <c r="F18" s="3">
        <v>788.64</v>
      </c>
      <c r="K18" s="3">
        <v>0.3</v>
      </c>
      <c r="L18" s="3">
        <v>0.74400358871876315</v>
      </c>
      <c r="M18" s="3">
        <v>6.9787161601806105E-2</v>
      </c>
      <c r="N18" s="3">
        <v>0.18754603638355558</v>
      </c>
      <c r="O18" s="3">
        <v>0.16375322483364274</v>
      </c>
      <c r="P18" s="3">
        <v>0.3725013513861849</v>
      </c>
      <c r="Q18" s="3">
        <v>0.46374314862154686</v>
      </c>
      <c r="R18" s="3">
        <v>90988.446107758529</v>
      </c>
      <c r="S18" s="3" t="s">
        <v>17</v>
      </c>
      <c r="T18" s="3">
        <f t="shared" si="0"/>
        <v>4183803.1926936652</v>
      </c>
      <c r="U18" s="3">
        <f t="shared" si="9"/>
        <v>9517200.9271602482</v>
      </c>
      <c r="V18" s="3">
        <f t="shared" si="1"/>
        <v>11848377.751117293</v>
      </c>
      <c r="X18" s="3">
        <f t="shared" si="2"/>
        <v>44354041.782761008</v>
      </c>
      <c r="Y18" s="3">
        <f t="shared" si="3"/>
        <v>4160386.7622698471</v>
      </c>
      <c r="Z18" s="3">
        <f t="shared" si="4"/>
        <v>11180624.475578763</v>
      </c>
      <c r="AB18" s="3">
        <f t="shared" si="5"/>
        <v>6616873.7905121818</v>
      </c>
      <c r="AC18" s="1">
        <f t="shared" si="6"/>
        <v>0.12981665555919045</v>
      </c>
      <c r="AD18" s="1">
        <f t="shared" si="7"/>
        <v>0.75319655261914364</v>
      </c>
      <c r="AE18" s="1">
        <f t="shared" si="8"/>
        <v>0.54960117402615005</v>
      </c>
    </row>
    <row r="19" spans="6:31" x14ac:dyDescent="0.25">
      <c r="K19" s="3">
        <v>0.32</v>
      </c>
      <c r="L19" s="3">
        <v>0.75726215205664005</v>
      </c>
      <c r="M19" s="3">
        <v>6.4535777111934034E-2</v>
      </c>
      <c r="N19" s="3">
        <v>0.1794225919059676</v>
      </c>
      <c r="O19" s="3">
        <v>0.17973046219558375</v>
      </c>
      <c r="P19" s="3">
        <v>0.35275985455597653</v>
      </c>
      <c r="Q19" s="3">
        <v>0.46750874800814413</v>
      </c>
      <c r="R19" s="3">
        <v>100534.49769659126</v>
      </c>
      <c r="S19" s="3" t="s">
        <v>17</v>
      </c>
      <c r="T19" s="3">
        <f t="shared" si="0"/>
        <v>4898146.8373742243</v>
      </c>
      <c r="U19" s="3">
        <f t="shared" si="9"/>
        <v>9613671.1876124255</v>
      </c>
      <c r="V19" s="3">
        <f t="shared" si="1"/>
        <v>12740892.487156477</v>
      </c>
      <c r="X19" s="3">
        <f t="shared" si="2"/>
        <v>43854614.214681871</v>
      </c>
      <c r="Y19" s="3">
        <f t="shared" si="3"/>
        <v>3737400.0543960584</v>
      </c>
      <c r="Z19" s="3">
        <f t="shared" si="4"/>
        <v>10390732.625504276</v>
      </c>
      <c r="AB19" s="3">
        <f t="shared" si="5"/>
        <v>7116301.3585913181</v>
      </c>
      <c r="AC19" s="1">
        <f t="shared" si="6"/>
        <v>0.13961494076678466</v>
      </c>
      <c r="AD19" s="1">
        <f t="shared" si="7"/>
        <v>0.76083126246282151</v>
      </c>
      <c r="AE19" s="1">
        <f t="shared" si="8"/>
        <v>0.59100153760896368</v>
      </c>
    </row>
    <row r="20" spans="6:31" x14ac:dyDescent="0.25">
      <c r="K20" s="3">
        <v>0.34</v>
      </c>
      <c r="L20" s="3">
        <v>0.77104607981729734</v>
      </c>
      <c r="M20" s="3">
        <v>5.9364945013185039E-2</v>
      </c>
      <c r="N20" s="3">
        <v>0.17069270838771983</v>
      </c>
      <c r="O20" s="3">
        <v>0.1982048825925736</v>
      </c>
      <c r="P20" s="3">
        <v>0.33232204277049093</v>
      </c>
      <c r="Q20" s="3">
        <v>0.46946962190735203</v>
      </c>
      <c r="R20" s="3">
        <v>110901.18691523968</v>
      </c>
      <c r="S20" s="3" t="s">
        <v>17</v>
      </c>
      <c r="T20" s="3">
        <f t="shared" si="0"/>
        <v>5739226.9229068039</v>
      </c>
      <c r="U20" s="3">
        <f t="shared" si="9"/>
        <v>9622727.704767704</v>
      </c>
      <c r="V20" s="3">
        <f t="shared" si="1"/>
        <v>13593977.394977188</v>
      </c>
      <c r="X20" s="3">
        <f t="shared" si="2"/>
        <v>43339550.217759937</v>
      </c>
      <c r="Y20" s="3">
        <f t="shared" si="3"/>
        <v>3336830.4215788743</v>
      </c>
      <c r="Z20" s="3">
        <f t="shared" si="4"/>
        <v>9594426.8450569957</v>
      </c>
      <c r="AB20" s="3">
        <f t="shared" si="5"/>
        <v>7631365.3555132523</v>
      </c>
      <c r="AC20" s="1">
        <f t="shared" si="6"/>
        <v>0.14971999756494056</v>
      </c>
      <c r="AD20" s="1">
        <f t="shared" si="7"/>
        <v>0.76154800024657743</v>
      </c>
      <c r="AE20" s="1">
        <f t="shared" si="8"/>
        <v>0.63057290144719369</v>
      </c>
    </row>
    <row r="21" spans="6:31" x14ac:dyDescent="0.25">
      <c r="J21" s="2"/>
      <c r="K21" s="3">
        <v>0.36000000000000004</v>
      </c>
      <c r="L21" s="3">
        <v>0.78533481082502776</v>
      </c>
      <c r="M21" s="3">
        <v>5.4296723653795176E-2</v>
      </c>
      <c r="N21" s="3">
        <v>0.16135592984023131</v>
      </c>
      <c r="O21" s="3">
        <v>0.21961686677224879</v>
      </c>
      <c r="P21" s="3">
        <v>0.3112502357088775</v>
      </c>
      <c r="Q21" s="3">
        <v>0.46912904867352662</v>
      </c>
      <c r="R21" s="3">
        <v>122218.23923298123</v>
      </c>
      <c r="T21" s="3">
        <f t="shared" si="0"/>
        <v>6733305.5527026784</v>
      </c>
      <c r="U21" s="3">
        <f t="shared" si="9"/>
        <v>9542723.0666757878</v>
      </c>
      <c r="V21" s="3">
        <f t="shared" si="1"/>
        <v>14383181.37760962</v>
      </c>
      <c r="X21" s="3">
        <f t="shared" si="2"/>
        <v>42805044.542048842</v>
      </c>
      <c r="Y21" s="3">
        <f t="shared" si="3"/>
        <v>2959468.5508036702</v>
      </c>
      <c r="Z21" s="3">
        <f t="shared" si="4"/>
        <v>8794781.1159406919</v>
      </c>
      <c r="AB21" s="3">
        <f t="shared" si="5"/>
        <v>8165871.0312243477</v>
      </c>
      <c r="AC21" s="1">
        <f t="shared" si="6"/>
        <v>0.16020648127235437</v>
      </c>
      <c r="AD21" s="1">
        <f t="shared" si="7"/>
        <v>0.75521638887622111</v>
      </c>
      <c r="AE21" s="1">
        <f t="shared" si="8"/>
        <v>0.66718107216153444</v>
      </c>
    </row>
    <row r="22" spans="6:31" x14ac:dyDescent="0.25">
      <c r="K22" s="3">
        <v>0.38000000000000006</v>
      </c>
      <c r="L22" s="3">
        <v>0.80009040691294731</v>
      </c>
      <c r="M22" s="3">
        <v>4.9354677412328837E-2</v>
      </c>
      <c r="N22" s="3">
        <v>0.15142776471657662</v>
      </c>
      <c r="O22" s="3">
        <v>0.24445505624933134</v>
      </c>
      <c r="P22" s="3">
        <v>0.28962718151387756</v>
      </c>
      <c r="Q22" s="3">
        <v>0.46591477735056241</v>
      </c>
      <c r="R22" s="3">
        <v>134639.47143764314</v>
      </c>
      <c r="T22" s="3">
        <f t="shared" si="0"/>
        <v>7911207.0702959616</v>
      </c>
      <c r="U22" s="3">
        <f t="shared" si="9"/>
        <v>9373095.5755133722</v>
      </c>
      <c r="V22" s="3">
        <f t="shared" si="1"/>
        <v>15078224.755439971</v>
      </c>
      <c r="X22" s="3">
        <f t="shared" si="2"/>
        <v>42246514.481729053</v>
      </c>
      <c r="Y22" s="3">
        <f t="shared" si="3"/>
        <v>2606034.3631490115</v>
      </c>
      <c r="Z22" s="3">
        <f t="shared" si="4"/>
        <v>7995715.483851267</v>
      </c>
      <c r="AB22" s="3">
        <f t="shared" si="5"/>
        <v>8724401.0915441364</v>
      </c>
      <c r="AC22" s="1">
        <f t="shared" si="6"/>
        <v>0.17116430013901521</v>
      </c>
      <c r="AD22" s="1">
        <f t="shared" si="7"/>
        <v>0.74179197527491159</v>
      </c>
      <c r="AE22" s="1">
        <f t="shared" si="8"/>
        <v>0.69942149059507397</v>
      </c>
    </row>
    <row r="23" spans="6:31" x14ac:dyDescent="0.25">
      <c r="K23" s="3">
        <v>0.40000000000000008</v>
      </c>
      <c r="L23" s="3">
        <v>0.81525264385448204</v>
      </c>
      <c r="M23" s="3">
        <v>4.456367373687585E-2</v>
      </c>
      <c r="N23" s="3">
        <v>0.14094486429544376</v>
      </c>
      <c r="O23" s="3">
        <v>0.27323005734195566</v>
      </c>
      <c r="P23" s="3">
        <v>0.26756671216668954</v>
      </c>
      <c r="Q23" s="3">
        <v>0.45919862788378318</v>
      </c>
      <c r="R23" s="3">
        <v>148345.59905944578</v>
      </c>
      <c r="T23" s="3">
        <f t="shared" si="0"/>
        <v>9307833.2750064749</v>
      </c>
      <c r="U23" s="3">
        <f>P23*K23*$C$3</f>
        <v>9114906.2113334741</v>
      </c>
      <c r="V23" s="3">
        <f t="shared" si="1"/>
        <v>15643023.721598729</v>
      </c>
      <c r="X23" s="3">
        <f t="shared" si="2"/>
        <v>41658497.018002905</v>
      </c>
      <c r="Y23" s="3">
        <f t="shared" si="3"/>
        <v>2277153.8166397703</v>
      </c>
      <c r="Z23" s="3">
        <f t="shared" si="4"/>
        <v>7202124.7072491636</v>
      </c>
      <c r="AB23" s="3">
        <f t="shared" si="5"/>
        <v>9312418.5552702844</v>
      </c>
      <c r="AC23" s="1">
        <f t="shared" si="6"/>
        <v>0.18270063330299072</v>
      </c>
      <c r="AD23" s="1">
        <f t="shared" si="7"/>
        <v>0.72135872599168416</v>
      </c>
      <c r="AE23" s="1">
        <f t="shared" si="8"/>
        <v>0.725620366205732</v>
      </c>
    </row>
    <row r="24" spans="6:31" x14ac:dyDescent="0.25">
      <c r="R24" s="3">
        <f>R18/10000</f>
        <v>9.0988446107758527</v>
      </c>
      <c r="T24" s="3">
        <f t="shared" si="0"/>
        <v>0</v>
      </c>
      <c r="U24" s="3">
        <f>P24*K24*$C$3</f>
        <v>0</v>
      </c>
      <c r="V24" s="3">
        <f t="shared" si="1"/>
        <v>0</v>
      </c>
      <c r="X24" s="3">
        <f t="shared" si="2"/>
        <v>0</v>
      </c>
      <c r="Y24" s="3">
        <f t="shared" si="3"/>
        <v>0</v>
      </c>
      <c r="Z24" s="3">
        <f t="shared" si="4"/>
        <v>0</v>
      </c>
      <c r="AB24" s="3">
        <f t="shared" si="5"/>
        <v>50970915.573273189</v>
      </c>
      <c r="AC24" s="1">
        <f t="shared" si="6"/>
        <v>1</v>
      </c>
      <c r="AD24" s="1">
        <f t="shared" si="7"/>
        <v>0</v>
      </c>
      <c r="AE24" s="1">
        <f t="shared" si="8"/>
        <v>0</v>
      </c>
    </row>
    <row r="25" spans="6:31" x14ac:dyDescent="0.25">
      <c r="M25" s="3" t="s">
        <v>20</v>
      </c>
      <c r="N25" s="3" t="s">
        <v>24</v>
      </c>
      <c r="O25" s="3" t="s">
        <v>36</v>
      </c>
    </row>
    <row r="26" spans="6:31" x14ac:dyDescent="0.25">
      <c r="L26" s="3" t="s">
        <v>35</v>
      </c>
      <c r="M26" s="3">
        <f>(0.05-M18)/0.05</f>
        <v>-0.39574323203612205</v>
      </c>
      <c r="N26" s="3">
        <f>(0.1-N18)/0.1</f>
        <v>-0.8754603638355557</v>
      </c>
      <c r="O26" s="3">
        <f>(L18+L9)/2-0.85</f>
        <v>-0.15433975196597693</v>
      </c>
    </row>
  </sheetData>
  <mergeCells count="1">
    <mergeCell ref="X2:Z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kutta">
                <anchor moveWithCells="1" sizeWithCells="1">
                  <from>
                    <xdr:col>6</xdr:col>
                    <xdr:colOff>219075</xdr:colOff>
                    <xdr:row>10</xdr:row>
                    <xdr:rowOff>9525</xdr:rowOff>
                  </from>
                  <to>
                    <xdr:col>8</xdr:col>
                    <xdr:colOff>200025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AE27"/>
  <sheetViews>
    <sheetView topLeftCell="A3" workbookViewId="0">
      <selection activeCell="A4" sqref="A4:A6"/>
    </sheetView>
  </sheetViews>
  <sheetFormatPr defaultRowHeight="15" x14ac:dyDescent="0.25"/>
  <cols>
    <col min="1" max="1" width="9.140625" style="3"/>
    <col min="2" max="3" width="12" style="3" bestFit="1" customWidth="1"/>
    <col min="4" max="4" width="9.7109375" style="3" bestFit="1" customWidth="1"/>
    <col min="5" max="5" width="9.140625" style="3"/>
    <col min="6" max="7" width="12" style="3" bestFit="1" customWidth="1"/>
    <col min="8" max="8" width="10" style="3" bestFit="1" customWidth="1"/>
    <col min="9" max="9" width="11" style="3" bestFit="1" customWidth="1"/>
    <col min="10" max="10" width="10" style="3" bestFit="1" customWidth="1"/>
    <col min="11" max="11" width="9.140625" style="3"/>
    <col min="12" max="12" width="12" style="3" bestFit="1" customWidth="1"/>
    <col min="13" max="15" width="9.140625" style="3"/>
    <col min="16" max="16" width="11" style="3" bestFit="1" customWidth="1"/>
    <col min="17" max="23" width="9.140625" style="3"/>
    <col min="24" max="24" width="12" style="3" bestFit="1" customWidth="1"/>
    <col min="25" max="16384" width="9.140625" style="3"/>
  </cols>
  <sheetData>
    <row r="2" spans="1:31" x14ac:dyDescent="0.25">
      <c r="C2" s="3" t="s">
        <v>0</v>
      </c>
      <c r="E2" s="3">
        <v>425824000</v>
      </c>
      <c r="T2" s="3" t="s">
        <v>22</v>
      </c>
      <c r="X2" s="4" t="s">
        <v>23</v>
      </c>
      <c r="Y2" s="4"/>
      <c r="Z2" s="4"/>
    </row>
    <row r="3" spans="1:31" x14ac:dyDescent="0.25">
      <c r="B3" s="3" t="s">
        <v>29</v>
      </c>
      <c r="C3" s="3">
        <f>SUM(H4:H6)</f>
        <v>476961775.54189187</v>
      </c>
      <c r="D3" s="3" t="s">
        <v>9</v>
      </c>
      <c r="E3" s="3" t="s">
        <v>4</v>
      </c>
      <c r="F3" s="3" t="s">
        <v>8</v>
      </c>
      <c r="G3" s="3" t="s">
        <v>7</v>
      </c>
      <c r="H3" s="3">
        <f>B4*(C8*D4-C9*E4)+B5*(C8*D5-C9*E5)+B6*(C8*D6-C9*E6)</f>
        <v>554.85523876606294</v>
      </c>
      <c r="L3" s="3" t="s">
        <v>10</v>
      </c>
      <c r="M3" s="3" t="s">
        <v>11</v>
      </c>
      <c r="N3" s="3" t="s">
        <v>12</v>
      </c>
      <c r="O3" s="3" t="s">
        <v>13</v>
      </c>
      <c r="P3" s="3" t="s">
        <v>14</v>
      </c>
      <c r="Q3" s="3" t="s">
        <v>15</v>
      </c>
      <c r="R3" s="3" t="s">
        <v>16</v>
      </c>
      <c r="T3" s="3" t="s">
        <v>19</v>
      </c>
      <c r="U3" s="3" t="s">
        <v>20</v>
      </c>
      <c r="V3" s="3" t="s">
        <v>21</v>
      </c>
      <c r="X3" s="3" t="s">
        <v>19</v>
      </c>
      <c r="Y3" s="3" t="s">
        <v>20</v>
      </c>
      <c r="Z3" s="3" t="s">
        <v>24</v>
      </c>
      <c r="AA3" s="3" t="s">
        <v>20</v>
      </c>
      <c r="AB3" s="3" t="s">
        <v>25</v>
      </c>
      <c r="AC3" s="3" t="s">
        <v>26</v>
      </c>
      <c r="AD3" s="3" t="s">
        <v>27</v>
      </c>
      <c r="AE3" s="3" t="s">
        <v>28</v>
      </c>
    </row>
    <row r="4" spans="1:31" x14ac:dyDescent="0.25">
      <c r="A4" s="3" t="s">
        <v>1</v>
      </c>
      <c r="B4" s="5">
        <f>0.0000000002/(0.00001)*76/101.325*3600</f>
        <v>5.4004441154700218E-2</v>
      </c>
      <c r="C4" s="5">
        <f>I4</f>
        <v>0.84620805631530882</v>
      </c>
      <c r="D4" s="5">
        <v>0.99057361885637851</v>
      </c>
      <c r="E4" s="5">
        <v>0.92441060214752246</v>
      </c>
      <c r="F4" s="5">
        <f>B4*(C$8*D4-C$9*E4)/H$3</f>
        <v>0.9244132655936913</v>
      </c>
      <c r="G4" s="5">
        <f>(F4-E4)^2</f>
        <v>7.0939454942975933E-12</v>
      </c>
      <c r="H4" s="5">
        <f>Sheet1!$C$4*Sheet1!$C$3+Sheet2!L23*Sheet2!C3*(1-Sheet2!K23)</f>
        <v>403608897.01800293</v>
      </c>
      <c r="I4" s="5">
        <f>H4/C$3</f>
        <v>0.84620805631530882</v>
      </c>
      <c r="K4" s="3">
        <v>0.02</v>
      </c>
      <c r="L4" s="5">
        <v>0.85623866825368378</v>
      </c>
      <c r="M4" s="5">
        <v>4.4932530235652586E-2</v>
      </c>
      <c r="N4" s="5">
        <v>9.9223395565109812E-2</v>
      </c>
      <c r="O4" s="5">
        <v>0.26222200068732993</v>
      </c>
      <c r="P4" s="5">
        <v>0.37787569421572403</v>
      </c>
      <c r="Q4" s="5">
        <v>0.35989882786720623</v>
      </c>
      <c r="R4" s="5">
        <v>5241.3542301718953</v>
      </c>
      <c r="S4" s="3" t="s">
        <v>17</v>
      </c>
      <c r="T4" s="5">
        <f>O4*K4*$C$3</f>
        <v>2501397.4206795217</v>
      </c>
      <c r="U4" s="5">
        <f>P4*K4*$C$3</f>
        <v>3604645.2409451348</v>
      </c>
      <c r="V4" s="5">
        <f>Q4*K4*$C$3</f>
        <v>3433159.6790997679</v>
      </c>
      <c r="X4" s="3">
        <f>L4*(1-K4)*$C$3</f>
        <v>400225253.18794388</v>
      </c>
      <c r="Y4" s="3">
        <f>M4*(1-K4)*$C$3</f>
        <v>21002477.412770867</v>
      </c>
      <c r="Z4" s="3">
        <f>N4*(1-K4)*$C$3</f>
        <v>46379251.585549645</v>
      </c>
      <c r="AB4" s="3">
        <f>C$3*C$4-X4</f>
        <v>3383643.8300590515</v>
      </c>
      <c r="AC4" s="1">
        <f>AB4/(C$3*C$4)</f>
        <v>8.3834718586694688E-3</v>
      </c>
      <c r="AD4" s="1">
        <f>U4/(C$3*C$5)</f>
        <v>0.15294429424256933</v>
      </c>
      <c r="AE4" s="1">
        <f>V4/(C$3*C$6)</f>
        <v>6.8960378737930636E-2</v>
      </c>
    </row>
    <row r="5" spans="1:31" x14ac:dyDescent="0.25">
      <c r="A5" s="3" t="s">
        <v>2</v>
      </c>
      <c r="B5" s="5">
        <f>B4*75</f>
        <v>4.0503330866025165</v>
      </c>
      <c r="C5" s="5">
        <f t="shared" ref="C5:C6" si="0">I5</f>
        <v>4.9413506543292685E-2</v>
      </c>
      <c r="D5" s="5">
        <v>1.9156153931526019E-3</v>
      </c>
      <c r="E5" s="5">
        <v>2.1365228336272184E-2</v>
      </c>
      <c r="F5" s="5">
        <f>B5*(C$8*D5-C$9*E5)/H$3</f>
        <v>2.136899822975975E-2</v>
      </c>
      <c r="G5" s="5">
        <f>(F5-E5)^2</f>
        <v>1.421209690759158E-11</v>
      </c>
      <c r="H5" s="5">
        <f>Sheet1!$C$5*Sheet1!$C$3+Sheet2!M23*Sheet2!C3*(1-Sheet2!K23)</f>
        <v>23568353.81663977</v>
      </c>
      <c r="I5" s="5">
        <f t="shared" ref="I5:I6" si="1">H5/C$3</f>
        <v>4.9413506543292685E-2</v>
      </c>
      <c r="K5" s="3">
        <v>0.04</v>
      </c>
      <c r="L5" s="5">
        <v>0.86599263502919821</v>
      </c>
      <c r="M5" s="5">
        <v>4.0620351084788071E-2</v>
      </c>
      <c r="N5" s="5">
        <v>9.3792657392149467E-2</v>
      </c>
      <c r="O5" s="5">
        <v>0.28749670407680328</v>
      </c>
      <c r="P5" s="5">
        <v>0.3515902325666766</v>
      </c>
      <c r="Q5" s="5">
        <v>0.36091198180597511</v>
      </c>
      <c r="R5" s="5">
        <v>10942.622602755066</v>
      </c>
      <c r="S5" s="3" t="s">
        <v>17</v>
      </c>
      <c r="T5" s="5">
        <f t="shared" ref="T5:T24" si="2">O5*K5*$C$3</f>
        <v>5484997.5375565588</v>
      </c>
      <c r="U5" s="5">
        <f>P5*K5*$C$3</f>
        <v>6707804.0635275505</v>
      </c>
      <c r="V5" s="5">
        <f t="shared" ref="V5:V24" si="3">Q5*K5*$C$3</f>
        <v>6885648.7862608349</v>
      </c>
      <c r="X5" s="3">
        <f t="shared" ref="X5:X24" si="4">L5*(1-K5)*$C$3</f>
        <v>396523569.41733879</v>
      </c>
      <c r="Y5" s="3">
        <f t="shared" ref="Y5:Y24" si="5">M5*(1-K5)*$C$3</f>
        <v>18599380.585474111</v>
      </c>
      <c r="Z5" s="3">
        <f t="shared" ref="Z5:Z24" si="6">N5*(1-K5)*$C$3</f>
        <v>42946091.906449877</v>
      </c>
      <c r="AB5" s="3">
        <f t="shared" ref="AB5:AB24" si="7">C$3*C$4-X5</f>
        <v>7085327.6006641388</v>
      </c>
      <c r="AC5" s="1">
        <f t="shared" ref="AC5:AC24" si="8">AB5/(C$3*C$4)</f>
        <v>1.7554934128095046E-2</v>
      </c>
      <c r="AD5" s="1">
        <f t="shared" ref="AD5:AD24" si="9">U5/(C$3*C$5)</f>
        <v>0.28461063151520133</v>
      </c>
      <c r="AE5" s="1">
        <f t="shared" ref="AE5:AE24" si="10">V5/(C$3*C$6)</f>
        <v>0.13830901925349123</v>
      </c>
    </row>
    <row r="6" spans="1:31" x14ac:dyDescent="0.25">
      <c r="A6" s="3" t="s">
        <v>3</v>
      </c>
      <c r="B6" s="5">
        <f>B4*16</f>
        <v>0.86407105847520349</v>
      </c>
      <c r="C6" s="5">
        <f t="shared" si="0"/>
        <v>0.10437843714139847</v>
      </c>
      <c r="D6" s="5">
        <v>7.5136496011038419E-3</v>
      </c>
      <c r="E6" s="5">
        <v>5.421421768273714E-2</v>
      </c>
      <c r="F6" s="5">
        <f>B6*(C$8*D6-C$9*E6)/H$3</f>
        <v>5.421773617654909E-2</v>
      </c>
      <c r="G6" s="5">
        <f>(F6-E6)^2</f>
        <v>1.2379798704734869E-11</v>
      </c>
      <c r="H6" s="5">
        <f>Sheet1!$C$3*Sheet1!$C$6+Sheet2!C3*Sheet2!N23*(1-Sheet2!K23)</f>
        <v>49784524.707249165</v>
      </c>
      <c r="I6" s="5">
        <f t="shared" si="1"/>
        <v>0.10437843714139847</v>
      </c>
      <c r="K6" s="3">
        <v>0.06</v>
      </c>
      <c r="L6" s="5">
        <v>0.87575450076374206</v>
      </c>
      <c r="M6" s="5">
        <v>3.6497518376426445E-2</v>
      </c>
      <c r="N6" s="5">
        <v>8.8109267511004244E-2</v>
      </c>
      <c r="O6" s="5">
        <v>0.31561447071573934</v>
      </c>
      <c r="P6" s="5">
        <v>0.32480543361932818</v>
      </c>
      <c r="Q6" s="5">
        <v>0.35957567527274592</v>
      </c>
      <c r="R6" s="5">
        <v>17158.334983374974</v>
      </c>
      <c r="S6" s="3" t="s">
        <v>17</v>
      </c>
      <c r="T6" s="5">
        <f t="shared" si="2"/>
        <v>9032162.3003576081</v>
      </c>
      <c r="U6" s="5">
        <f t="shared" ref="U6:U22" si="11">P6*K6*$C$3</f>
        <v>9295186.5794837326</v>
      </c>
      <c r="V6" s="5">
        <f t="shared" si="3"/>
        <v>10290231.151185818</v>
      </c>
      <c r="X6" s="3">
        <f t="shared" si="4"/>
        <v>392639336.32569283</v>
      </c>
      <c r="Y6" s="3">
        <f t="shared" si="5"/>
        <v>16363445.897631593</v>
      </c>
      <c r="Z6" s="3">
        <f t="shared" si="6"/>
        <v>39503267.513319463</v>
      </c>
      <c r="AB6" s="3">
        <f t="shared" si="7"/>
        <v>10969560.692310095</v>
      </c>
      <c r="AC6" s="1">
        <f t="shared" si="8"/>
        <v>2.7178689006503241E-2</v>
      </c>
      <c r="AD6" s="1">
        <f t="shared" si="9"/>
        <v>0.39439269504351759</v>
      </c>
      <c r="AE6" s="1">
        <f t="shared" si="10"/>
        <v>0.20669537796526255</v>
      </c>
    </row>
    <row r="7" spans="1:31" x14ac:dyDescent="0.25">
      <c r="A7" s="3" t="s">
        <v>18</v>
      </c>
      <c r="B7" s="3">
        <v>0.4</v>
      </c>
      <c r="D7" s="3">
        <f>SUM(D3:D6)</f>
        <v>1.000002883850635</v>
      </c>
      <c r="E7" s="3">
        <f>SUM(E6,E5,E4)</f>
        <v>0.99999004816653181</v>
      </c>
      <c r="F7" s="3">
        <f>SUM(F3:F6)</f>
        <v>1.0000000000000002</v>
      </c>
      <c r="G7" s="3">
        <f>SUM(G3:G6)</f>
        <v>3.3685841106624045E-11</v>
      </c>
      <c r="K7" s="3">
        <v>0.08</v>
      </c>
      <c r="L7" s="5">
        <v>0.88552027534172806</v>
      </c>
      <c r="M7" s="5">
        <v>3.2583617564039657E-2</v>
      </c>
      <c r="N7" s="5">
        <v>8.2207823864009863E-2</v>
      </c>
      <c r="O7" s="5">
        <v>0.34671539781534544</v>
      </c>
      <c r="P7" s="5">
        <v>0.29777305969125784</v>
      </c>
      <c r="Q7" s="5">
        <v>0.35550683803768368</v>
      </c>
      <c r="R7" s="5">
        <v>23945.461227021846</v>
      </c>
      <c r="S7" s="3" t="s">
        <v>17</v>
      </c>
      <c r="T7" s="5">
        <f t="shared" si="2"/>
        <v>13229599.339977644</v>
      </c>
      <c r="U7" s="5">
        <f t="shared" si="11"/>
        <v>11362109.380710728</v>
      </c>
      <c r="V7" s="5">
        <f t="shared" si="3"/>
        <v>13565053.815018993</v>
      </c>
      <c r="X7" s="3">
        <f t="shared" si="4"/>
        <v>388570576.98090875</v>
      </c>
      <c r="Y7" s="3">
        <f t="shared" si="5"/>
        <v>14297848.879968544</v>
      </c>
      <c r="Z7" s="3">
        <f t="shared" si="6"/>
        <v>36073190.462924197</v>
      </c>
      <c r="AB7" s="3">
        <f t="shared" si="7"/>
        <v>15038320.037094176</v>
      </c>
      <c r="AC7" s="1">
        <f t="shared" si="8"/>
        <v>3.7259634631947654E-2</v>
      </c>
      <c r="AD7" s="1">
        <f t="shared" si="9"/>
        <v>0.48209176886545346</v>
      </c>
      <c r="AE7" s="1">
        <f t="shared" si="10"/>
        <v>0.27247531024522914</v>
      </c>
    </row>
    <row r="8" spans="1:31" x14ac:dyDescent="0.25">
      <c r="B8" s="3" t="s">
        <v>5</v>
      </c>
      <c r="C8" s="3">
        <f>10324*1</f>
        <v>10324</v>
      </c>
      <c r="D8" s="3">
        <f>C8/76</f>
        <v>135.84210526315789</v>
      </c>
      <c r="E8" s="3">
        <f>800*(101.325/14.7)</f>
        <v>5514.2857142857147</v>
      </c>
      <c r="F8" s="3">
        <f>C8/C9</f>
        <v>13.090890647190099</v>
      </c>
      <c r="J8" s="3">
        <f>R8/10000</f>
        <v>3.1362407965240959</v>
      </c>
      <c r="K8" s="3">
        <v>0.1</v>
      </c>
      <c r="L8" s="5">
        <v>0.89523372216386077</v>
      </c>
      <c r="M8" s="5">
        <v>2.8896245218184867E-2</v>
      </c>
      <c r="N8" s="5">
        <v>7.6134512437928223E-2</v>
      </c>
      <c r="O8" s="5">
        <v>0.38082955757242221</v>
      </c>
      <c r="P8" s="5">
        <v>0.27078208297447964</v>
      </c>
      <c r="Q8" s="5">
        <v>0.34838393488453845</v>
      </c>
      <c r="R8" s="5">
        <v>31362.40796524096</v>
      </c>
      <c r="S8" s="3" t="s">
        <v>17</v>
      </c>
      <c r="T8" s="5">
        <f t="shared" si="2"/>
        <v>18164114.195857562</v>
      </c>
      <c r="U8" s="5">
        <f t="shared" si="11"/>
        <v>12915270.30804397</v>
      </c>
      <c r="V8" s="5">
        <f t="shared" si="3"/>
        <v>16616582.015280033</v>
      </c>
      <c r="X8" s="3">
        <f t="shared" si="4"/>
        <v>384293039.08342659</v>
      </c>
      <c r="Y8" s="3">
        <f t="shared" si="5"/>
        <v>12404163.983183423</v>
      </c>
      <c r="Z8" s="3">
        <f t="shared" si="6"/>
        <v>32681927.009169444</v>
      </c>
      <c r="AB8" s="3">
        <f t="shared" si="7"/>
        <v>19315857.934576333</v>
      </c>
      <c r="AC8" s="1">
        <f t="shared" si="8"/>
        <v>4.7857859619270859E-2</v>
      </c>
      <c r="AD8" s="1">
        <f t="shared" si="9"/>
        <v>0.54799204087497655</v>
      </c>
      <c r="AE8" s="1">
        <f t="shared" si="10"/>
        <v>0.33377002417902923</v>
      </c>
    </row>
    <row r="9" spans="1:31" x14ac:dyDescent="0.25">
      <c r="B9" s="3" t="s">
        <v>6</v>
      </c>
      <c r="C9" s="3">
        <v>788.64</v>
      </c>
      <c r="D9" s="3">
        <f>C9/76</f>
        <v>10.376842105263158</v>
      </c>
      <c r="J9" s="3">
        <f>N8/0.1</f>
        <v>0.76134512437928215</v>
      </c>
      <c r="K9" s="3">
        <v>0.12000000000000001</v>
      </c>
      <c r="L9" s="5">
        <v>0.90482375166470597</v>
      </c>
      <c r="M9" s="5">
        <v>2.5450219231106044E-2</v>
      </c>
      <c r="N9" s="5">
        <v>6.9947025564141632E-2</v>
      </c>
      <c r="O9" s="5">
        <v>0.41786184776404445</v>
      </c>
      <c r="P9" s="5">
        <v>0.24414464163565466</v>
      </c>
      <c r="Q9" s="5">
        <v>0.33798931791649806</v>
      </c>
      <c r="R9" s="5">
        <v>39466.747331539838</v>
      </c>
      <c r="S9" s="3" t="s">
        <v>17</v>
      </c>
      <c r="T9" s="5">
        <f t="shared" si="2"/>
        <v>23916495.460890524</v>
      </c>
      <c r="U9" s="5">
        <f t="shared" si="11"/>
        <v>13973719.411629692</v>
      </c>
      <c r="V9" s="5">
        <f t="shared" si="3"/>
        <v>19344958.222517509</v>
      </c>
      <c r="X9" s="3">
        <f t="shared" si="4"/>
        <v>379778381.9688971</v>
      </c>
      <c r="Y9" s="3">
        <f t="shared" si="5"/>
        <v>10682127.942110892</v>
      </c>
      <c r="Z9" s="3">
        <f t="shared" si="6"/>
        <v>29358610.606113445</v>
      </c>
      <c r="AB9" s="3">
        <f t="shared" si="7"/>
        <v>23830515.049105823</v>
      </c>
      <c r="AC9" s="1">
        <f t="shared" si="8"/>
        <v>5.9043582104293564E-2</v>
      </c>
      <c r="AD9" s="1">
        <f t="shared" si="9"/>
        <v>0.59290180045429997</v>
      </c>
      <c r="AE9" s="1">
        <f t="shared" si="10"/>
        <v>0.38857372519418015</v>
      </c>
    </row>
    <row r="10" spans="1:31" x14ac:dyDescent="0.25">
      <c r="B10" s="3" t="s">
        <v>30</v>
      </c>
      <c r="C10" s="3">
        <v>0.1</v>
      </c>
      <c r="E10" s="3" t="s">
        <v>32</v>
      </c>
      <c r="F10" s="3">
        <f>C4*C3</f>
        <v>403608897.01800293</v>
      </c>
      <c r="K10" s="3">
        <v>0.14000000000000001</v>
      </c>
      <c r="L10" s="5">
        <v>0.91421139083381187</v>
      </c>
      <c r="M10" s="5">
        <v>2.2256896552206886E-2</v>
      </c>
      <c r="N10" s="5">
        <v>6.3713483881528699E-2</v>
      </c>
      <c r="O10" s="5">
        <v>0.45755873081542076</v>
      </c>
      <c r="P10" s="5">
        <v>0.21818109013495909</v>
      </c>
      <c r="Q10" s="5">
        <v>0.3242555392999375</v>
      </c>
      <c r="R10" s="5">
        <v>48312.069734432131</v>
      </c>
      <c r="S10" s="3" t="s">
        <v>17</v>
      </c>
      <c r="T10" s="5">
        <f t="shared" si="2"/>
        <v>30553323.453018468</v>
      </c>
      <c r="U10" s="5">
        <f t="shared" si="11"/>
        <v>14568965.619660992</v>
      </c>
      <c r="V10" s="5">
        <f t="shared" si="3"/>
        <v>21652049.685530867</v>
      </c>
      <c r="X10" s="3">
        <f t="shared" si="4"/>
        <v>374997743.84573692</v>
      </c>
      <c r="Y10" s="3">
        <f t="shared" si="5"/>
        <v>9129492.4519298151</v>
      </c>
      <c r="Z10" s="3">
        <f t="shared" si="6"/>
        <v>26134450.902360529</v>
      </c>
      <c r="AB10" s="3">
        <f t="shared" si="7"/>
        <v>28611153.172266006</v>
      </c>
      <c r="AC10" s="1">
        <f t="shared" si="8"/>
        <v>7.0888311391683251E-2</v>
      </c>
      <c r="AD10" s="1">
        <f t="shared" si="9"/>
        <v>0.61815796440458159</v>
      </c>
      <c r="AE10" s="1">
        <f t="shared" si="10"/>
        <v>0.43491526358547511</v>
      </c>
    </row>
    <row r="11" spans="1:31" x14ac:dyDescent="0.25">
      <c r="B11" s="3" t="s">
        <v>31</v>
      </c>
      <c r="C11" s="3">
        <v>0.38000000000000006</v>
      </c>
      <c r="E11" s="3" t="s">
        <v>33</v>
      </c>
      <c r="F11" s="3">
        <f>D4*C3+E4*(1-C11)*C3</f>
        <v>745829035.77531517</v>
      </c>
      <c r="K11" s="3">
        <v>0.16</v>
      </c>
      <c r="L11" s="5">
        <v>0.92331333774532209</v>
      </c>
      <c r="M11" s="5">
        <v>1.9323630753688651E-2</v>
      </c>
      <c r="N11" s="5">
        <v>5.7510101609661822E-2</v>
      </c>
      <c r="O11" s="5">
        <v>0.49949273122960719</v>
      </c>
      <c r="P11" s="5">
        <v>0.19320236681948888</v>
      </c>
      <c r="Q11" s="5">
        <v>0.30729951149543017</v>
      </c>
      <c r="R11" s="5">
        <v>57944.204887821877</v>
      </c>
      <c r="S11" s="3" t="s">
        <v>17</v>
      </c>
      <c r="T11" s="5">
        <f t="shared" si="2"/>
        <v>38118230.39320679</v>
      </c>
      <c r="U11" s="5">
        <f t="shared" si="11"/>
        <v>14744023.026739091</v>
      </c>
      <c r="V11" s="5">
        <f t="shared" si="3"/>
        <v>23451219.300162621</v>
      </c>
      <c r="X11" s="3">
        <f t="shared" si="4"/>
        <v>369923541.92011619</v>
      </c>
      <c r="Y11" s="3">
        <f t="shared" si="5"/>
        <v>7741971.9167240048</v>
      </c>
      <c r="Z11" s="3">
        <f t="shared" si="6"/>
        <v>23041300.947284691</v>
      </c>
      <c r="AB11" s="3">
        <f t="shared" si="7"/>
        <v>33685355.097886741</v>
      </c>
      <c r="AC11" s="1">
        <f t="shared" si="8"/>
        <v>8.3460387882341974E-2</v>
      </c>
      <c r="AD11" s="1">
        <f t="shared" si="9"/>
        <v>0.6255856111736362</v>
      </c>
      <c r="AE11" s="1">
        <f t="shared" si="10"/>
        <v>0.47105439768812074</v>
      </c>
    </row>
    <row r="12" spans="1:31" x14ac:dyDescent="0.25">
      <c r="E12" s="3" t="s">
        <v>34</v>
      </c>
      <c r="F12" s="3">
        <f>(F11-F10)^2/C3^2</f>
        <v>0.51480644497710404</v>
      </c>
      <c r="K12" s="3">
        <v>0.18</v>
      </c>
      <c r="L12" s="5">
        <v>0.93204587182358567</v>
      </c>
      <c r="M12" s="5">
        <v>1.6653436921347905E-2</v>
      </c>
      <c r="N12" s="5">
        <v>5.1417676978301616E-2</v>
      </c>
      <c r="O12" s="5">
        <v>0.54306529345568699</v>
      </c>
      <c r="P12" s="5">
        <v>0.16949283536755763</v>
      </c>
      <c r="Q12" s="5">
        <v>0.28743948772004729</v>
      </c>
      <c r="R12" s="5">
        <v>68397.177594140259</v>
      </c>
      <c r="S12" s="3" t="s">
        <v>17</v>
      </c>
      <c r="T12" s="5">
        <f t="shared" si="2"/>
        <v>46623849.588324539</v>
      </c>
      <c r="U12" s="5">
        <f t="shared" si="11"/>
        <v>14551488.665737174</v>
      </c>
      <c r="V12" s="5">
        <f t="shared" si="3"/>
        <v>24677576.716285005</v>
      </c>
      <c r="X12" s="3">
        <f t="shared" si="4"/>
        <v>364531208.20740378</v>
      </c>
      <c r="Y12" s="3">
        <f t="shared" si="5"/>
        <v>6513303.3311624164</v>
      </c>
      <c r="Z12" s="3">
        <f t="shared" si="6"/>
        <v>20109898.534764364</v>
      </c>
      <c r="AB12" s="3">
        <f t="shared" si="7"/>
        <v>39077688.810599148</v>
      </c>
      <c r="AC12" s="1">
        <f t="shared" si="8"/>
        <v>9.6820682346990219E-2</v>
      </c>
      <c r="AD12" s="1">
        <f t="shared" si="9"/>
        <v>0.61741642114450557</v>
      </c>
      <c r="AE12" s="1">
        <f t="shared" si="10"/>
        <v>0.49568770338570056</v>
      </c>
    </row>
    <row r="13" spans="1:31" x14ac:dyDescent="0.25">
      <c r="K13" s="3">
        <v>0.19999999999999998</v>
      </c>
      <c r="L13" s="5">
        <v>0.94032941584994334</v>
      </c>
      <c r="M13" s="5">
        <v>1.4244892254922309E-2</v>
      </c>
      <c r="N13" s="5">
        <v>4.5517131709757977E-2</v>
      </c>
      <c r="O13" s="5">
        <v>0.58752143603368701</v>
      </c>
      <c r="P13" s="5">
        <v>0.14729341352118211</v>
      </c>
      <c r="Q13" s="5">
        <v>0.26518052968217681</v>
      </c>
      <c r="R13" s="5">
        <v>79689.531225107872</v>
      </c>
      <c r="S13" s="3" t="s">
        <v>17</v>
      </c>
      <c r="T13" s="5">
        <f t="shared" si="2"/>
        <v>56045053.459909879</v>
      </c>
      <c r="U13" s="5">
        <f t="shared" si="11"/>
        <v>14050665.607737822</v>
      </c>
      <c r="V13" s="5">
        <f t="shared" si="3"/>
        <v>25296195.255270083</v>
      </c>
      <c r="X13" s="3">
        <f t="shared" si="4"/>
        <v>358800950.22244722</v>
      </c>
      <c r="Y13" s="3">
        <f t="shared" si="5"/>
        <v>5435415.2818485508</v>
      </c>
      <c r="Z13" s="3">
        <f t="shared" si="6"/>
        <v>17367945.566288251</v>
      </c>
      <c r="AB13" s="3">
        <f t="shared" si="7"/>
        <v>44807946.795555711</v>
      </c>
      <c r="AC13" s="1">
        <f t="shared" si="8"/>
        <v>0.11101823355880348</v>
      </c>
      <c r="AD13" s="1">
        <f t="shared" si="9"/>
        <v>0.59616661040694952</v>
      </c>
      <c r="AE13" s="1">
        <f t="shared" si="10"/>
        <v>0.50811362374193125</v>
      </c>
    </row>
    <row r="14" spans="1:31" x14ac:dyDescent="0.25">
      <c r="C14" s="3">
        <f>C3*C4*0.0257</f>
        <v>10372748.653362675</v>
      </c>
      <c r="G14" s="3" t="s">
        <v>37</v>
      </c>
      <c r="H14" s="3">
        <f>L18</f>
        <v>0.97304958765534899</v>
      </c>
      <c r="I14" s="3">
        <f>M18</f>
        <v>5.805818469344943E-3</v>
      </c>
      <c r="J14" s="3">
        <f>N18</f>
        <v>2.1164996723082988E-2</v>
      </c>
      <c r="K14" s="3">
        <v>0.21999999999999997</v>
      </c>
      <c r="L14" s="5">
        <v>0.94809317397889126</v>
      </c>
      <c r="M14" s="5">
        <v>1.2092309773917204E-2</v>
      </c>
      <c r="N14" s="5">
        <v>3.9884736889952366E-2</v>
      </c>
      <c r="O14" s="5">
        <v>0.63202111728364085</v>
      </c>
      <c r="P14" s="5">
        <v>0.126790558277595</v>
      </c>
      <c r="Q14" s="5">
        <v>0.2411843192548111</v>
      </c>
      <c r="R14" s="5">
        <v>91821.598710567894</v>
      </c>
      <c r="S14" s="3" t="s">
        <v>17</v>
      </c>
      <c r="T14" s="5">
        <f t="shared" si="2"/>
        <v>66318981.141506635</v>
      </c>
      <c r="U14" s="5">
        <f t="shared" si="11"/>
        <v>13304334.955566473</v>
      </c>
      <c r="V14" s="5">
        <f t="shared" si="3"/>
        <v>25307854.251820181</v>
      </c>
      <c r="X14" s="3">
        <f t="shared" si="4"/>
        <v>352719278.83929342</v>
      </c>
      <c r="Y14" s="3">
        <f t="shared" si="5"/>
        <v>4498704.2413326958</v>
      </c>
      <c r="Z14" s="3">
        <f t="shared" si="6"/>
        <v>14838326.040761244</v>
      </c>
      <c r="AB14" s="3">
        <f t="shared" si="7"/>
        <v>50889618.178709507</v>
      </c>
      <c r="AC14" s="1">
        <f t="shared" si="8"/>
        <v>0.12608646279777025</v>
      </c>
      <c r="AD14" s="1">
        <f t="shared" si="9"/>
        <v>0.56449996716246353</v>
      </c>
      <c r="AE14" s="1">
        <f t="shared" si="10"/>
        <v>0.50834781291253517</v>
      </c>
    </row>
    <row r="15" spans="1:31" x14ac:dyDescent="0.25">
      <c r="F15" s="3">
        <v>0.2</v>
      </c>
      <c r="G15" s="3" t="s">
        <v>38</v>
      </c>
      <c r="H15" s="3">
        <f>O13</f>
        <v>0.58752143603368701</v>
      </c>
      <c r="I15" s="3">
        <f t="shared" ref="I15:J15" si="12">P13</f>
        <v>0.14729341352118211</v>
      </c>
      <c r="J15" s="3">
        <f t="shared" si="12"/>
        <v>0.26518052968217681</v>
      </c>
      <c r="K15" s="3">
        <v>0.23999999999999996</v>
      </c>
      <c r="L15" s="5">
        <v>0.9552794536033159</v>
      </c>
      <c r="M15" s="5">
        <v>1.018613269292213E-2</v>
      </c>
      <c r="N15" s="5">
        <v>3.4587379459298191E-2</v>
      </c>
      <c r="O15" s="5">
        <v>0.67568258510635493</v>
      </c>
      <c r="P15" s="5">
        <v>0.10810824520305935</v>
      </c>
      <c r="Q15" s="5">
        <v>0.2162015181079677</v>
      </c>
      <c r="R15" s="5">
        <v>104774.53196093161</v>
      </c>
      <c r="S15" s="3" t="s">
        <v>17</v>
      </c>
      <c r="T15" s="5">
        <f t="shared" si="2"/>
        <v>77345943.718814984</v>
      </c>
      <c r="U15" s="5">
        <f t="shared" si="11"/>
        <v>12375240.139864655</v>
      </c>
      <c r="V15" s="5">
        <f t="shared" si="3"/>
        <v>24748766.388390899</v>
      </c>
      <c r="X15" s="3">
        <f t="shared" si="4"/>
        <v>346280156.09028769</v>
      </c>
      <c r="Y15" s="3">
        <f t="shared" si="5"/>
        <v>3692380.9106923034</v>
      </c>
      <c r="Z15" s="3">
        <f t="shared" si="6"/>
        <v>12537612.0178685</v>
      </c>
      <c r="AB15" s="3">
        <f t="shared" si="7"/>
        <v>57328740.927715242</v>
      </c>
      <c r="AC15" s="1">
        <f t="shared" si="8"/>
        <v>0.14204033001075816</v>
      </c>
      <c r="AD15" s="1">
        <f t="shared" si="9"/>
        <v>0.52507868119017576</v>
      </c>
      <c r="AE15" s="1">
        <f t="shared" si="10"/>
        <v>0.49711765923090578</v>
      </c>
    </row>
    <row r="16" spans="1:31" x14ac:dyDescent="0.25">
      <c r="F16" s="3">
        <f>F15*C3</f>
        <v>95392355.108378381</v>
      </c>
      <c r="H16" s="3">
        <f>H15*$F$16</f>
        <v>56045053.459909886</v>
      </c>
      <c r="I16" s="3">
        <f t="shared" ref="I16:J16" si="13">I15*$F$16</f>
        <v>14050665.607737826</v>
      </c>
      <c r="J16" s="3">
        <f t="shared" si="13"/>
        <v>25296195.255270083</v>
      </c>
      <c r="K16" s="3">
        <v>0.25999999999999995</v>
      </c>
      <c r="L16" s="5">
        <v>0.96184681604983591</v>
      </c>
      <c r="M16" s="5">
        <v>8.5135372665495861E-3</v>
      </c>
      <c r="N16" s="5">
        <v>2.9678889225550367E-2</v>
      </c>
      <c r="O16" s="5">
        <v>0.71767637099817227</v>
      </c>
      <c r="P16" s="5">
        <v>9.1307122465958346E-2</v>
      </c>
      <c r="Q16" s="5">
        <v>0.19101046510384692</v>
      </c>
      <c r="R16" s="5">
        <v>118511.12247745159</v>
      </c>
      <c r="S16" s="3" t="s">
        <v>17</v>
      </c>
      <c r="T16" s="5">
        <f t="shared" si="2"/>
        <v>88999091.005694926</v>
      </c>
      <c r="U16" s="5">
        <f t="shared" si="11"/>
        <v>11323001.885255957</v>
      </c>
      <c r="V16" s="5">
        <f t="shared" si="3"/>
        <v>23687219.551583484</v>
      </c>
      <c r="X16" s="3">
        <f t="shared" si="4"/>
        <v>339485482.23500943</v>
      </c>
      <c r="Y16" s="3">
        <f t="shared" si="5"/>
        <v>3004867.569588711</v>
      </c>
      <c r="Z16" s="3">
        <f t="shared" si="6"/>
        <v>10475214.818835925</v>
      </c>
      <c r="AB16" s="3">
        <f t="shared" si="7"/>
        <v>64123414.782993495</v>
      </c>
      <c r="AC16" s="1">
        <f t="shared" si="8"/>
        <v>0.1588751270270766</v>
      </c>
      <c r="AD16" s="1">
        <f>U16/(C$3*C$5)</f>
        <v>0.48043244654879846</v>
      </c>
      <c r="AE16" s="1">
        <f t="shared" si="10"/>
        <v>0.47579483164442804</v>
      </c>
    </row>
    <row r="17" spans="7:31" x14ac:dyDescent="0.25">
      <c r="G17" s="3">
        <v>10324</v>
      </c>
      <c r="K17" s="3">
        <v>0.27999999999999997</v>
      </c>
      <c r="L17" s="5">
        <v>0.96777194368259933</v>
      </c>
      <c r="M17" s="5">
        <v>7.0591517745841421E-3</v>
      </c>
      <c r="N17" s="5">
        <v>2.5197456562264353E-2</v>
      </c>
      <c r="O17" s="5">
        <v>0.75727170481397499</v>
      </c>
      <c r="P17" s="5">
        <v>7.638872618693418E-2</v>
      </c>
      <c r="Q17" s="5">
        <v>0.16633355093361213</v>
      </c>
      <c r="R17" s="5">
        <v>132978.56952507206</v>
      </c>
      <c r="S17" s="3" t="s">
        <v>17</v>
      </c>
      <c r="T17" s="5">
        <f t="shared" si="2"/>
        <v>101133103.93079849</v>
      </c>
      <c r="U17" s="5">
        <f t="shared" si="11"/>
        <v>10201660.69258099</v>
      </c>
      <c r="V17" s="5">
        <f t="shared" si="3"/>
        <v>22213728.819935333</v>
      </c>
      <c r="X17" s="3">
        <f t="shared" si="4"/>
        <v>332344961.69650584</v>
      </c>
      <c r="Y17" s="3">
        <f t="shared" si="5"/>
        <v>2424200.8062422513</v>
      </c>
      <c r="Z17" s="3">
        <f t="shared" si="6"/>
        <v>8653121.007175656</v>
      </c>
      <c r="AB17" s="3">
        <f t="shared" si="7"/>
        <v>71263935.321497083</v>
      </c>
      <c r="AC17" s="1">
        <f t="shared" si="8"/>
        <v>0.17656680972104133</v>
      </c>
      <c r="AD17" s="1">
        <f t="shared" si="9"/>
        <v>0.43285418964554057</v>
      </c>
      <c r="AE17" s="1">
        <f t="shared" si="10"/>
        <v>0.44619746699521617</v>
      </c>
    </row>
    <row r="18" spans="7:31" x14ac:dyDescent="0.25">
      <c r="G18" s="3">
        <v>788.64</v>
      </c>
      <c r="K18" s="3">
        <v>0.3</v>
      </c>
      <c r="L18" s="5">
        <v>0.97304958765534899</v>
      </c>
      <c r="M18" s="5">
        <v>5.805818469344943E-3</v>
      </c>
      <c r="N18" s="5">
        <v>2.1164996723082988E-2</v>
      </c>
      <c r="O18" s="5">
        <v>0.79389390613297339</v>
      </c>
      <c r="P18" s="5">
        <v>6.3303603248112988E-2</v>
      </c>
      <c r="Q18" s="5">
        <v>0.14279574754367996</v>
      </c>
      <c r="R18" s="5">
        <v>148112.32687608295</v>
      </c>
      <c r="S18" s="3" t="s">
        <v>17</v>
      </c>
      <c r="T18" s="5">
        <f t="shared" si="2"/>
        <v>113597114.1183213</v>
      </c>
      <c r="U18" s="5">
        <f t="shared" si="11"/>
        <v>9058019.7010258324</v>
      </c>
      <c r="V18" s="5">
        <f t="shared" si="3"/>
        <v>20432433.986479599</v>
      </c>
      <c r="X18" s="3">
        <f t="shared" si="4"/>
        <v>324875221.31288069</v>
      </c>
      <c r="Y18" s="3">
        <f t="shared" si="5"/>
        <v>1938407.4399288711</v>
      </c>
      <c r="Z18" s="3">
        <f t="shared" si="6"/>
        <v>7066426.0914659891</v>
      </c>
      <c r="AB18" s="3">
        <f t="shared" si="7"/>
        <v>78733675.705122232</v>
      </c>
      <c r="AC18" s="1">
        <f t="shared" si="8"/>
        <v>0.19507418267246554</v>
      </c>
      <c r="AD18" s="1">
        <f t="shared" si="9"/>
        <v>0.38432975724552615</v>
      </c>
      <c r="AE18" s="1">
        <f t="shared" si="10"/>
        <v>0.41041737581366156</v>
      </c>
    </row>
    <row r="19" spans="7:31" x14ac:dyDescent="0.25">
      <c r="K19" s="3">
        <v>0.32</v>
      </c>
      <c r="L19" s="5">
        <v>0.97769136582255667</v>
      </c>
      <c r="M19" s="5">
        <v>4.7353307135783633E-3</v>
      </c>
      <c r="N19" s="5">
        <v>1.7587621698947783E-2</v>
      </c>
      <c r="O19" s="5">
        <v>0.82714594860414481</v>
      </c>
      <c r="P19" s="5">
        <v>5.1961162746729496E-2</v>
      </c>
      <c r="Q19" s="5">
        <v>0.1208851337062533</v>
      </c>
      <c r="R19" s="5">
        <v>163840.715438368</v>
      </c>
      <c r="S19" s="3" t="s">
        <v>17</v>
      </c>
      <c r="T19" s="5">
        <f t="shared" si="2"/>
        <v>126245440.08912492</v>
      </c>
      <c r="U19" s="5">
        <f t="shared" si="11"/>
        <v>7930716.3017284181</v>
      </c>
      <c r="V19" s="5">
        <f t="shared" si="3"/>
        <v>18450428.162929144</v>
      </c>
      <c r="X19" s="3">
        <f t="shared" si="4"/>
        <v>317098558.64679867</v>
      </c>
      <c r="Y19" s="3">
        <f t="shared" si="5"/>
        <v>1535828.7865499449</v>
      </c>
      <c r="Z19" s="3">
        <f t="shared" si="6"/>
        <v>5704263.8257006826</v>
      </c>
      <c r="AB19" s="3">
        <f t="shared" si="7"/>
        <v>86510338.371204257</v>
      </c>
      <c r="AC19" s="1">
        <f t="shared" si="8"/>
        <v>0.21434200041270515</v>
      </c>
      <c r="AD19" s="1">
        <f t="shared" si="9"/>
        <v>0.3364985252440143</v>
      </c>
      <c r="AE19" s="1">
        <f t="shared" si="10"/>
        <v>0.37060569065235172</v>
      </c>
    </row>
    <row r="20" spans="7:31" x14ac:dyDescent="0.25">
      <c r="K20" s="3">
        <v>0.34</v>
      </c>
      <c r="L20" s="5">
        <v>0.98172336740513588</v>
      </c>
      <c r="M20" s="5">
        <v>3.8291051241569098E-3</v>
      </c>
      <c r="N20" s="5">
        <v>1.4457394062362766E-2</v>
      </c>
      <c r="O20" s="5">
        <v>0.85681052387864032</v>
      </c>
      <c r="P20" s="5">
        <v>4.2240742877908015E-2</v>
      </c>
      <c r="Q20" s="5">
        <v>0.100939891537665</v>
      </c>
      <c r="R20" s="5">
        <v>180089.3339696232</v>
      </c>
      <c r="S20" s="3" t="s">
        <v>17</v>
      </c>
      <c r="T20" s="5">
        <f t="shared" si="2"/>
        <v>138946395.38252583</v>
      </c>
      <c r="U20" s="5">
        <f t="shared" si="11"/>
        <v>6850054.7059068801</v>
      </c>
      <c r="V20" s="5">
        <f t="shared" si="3"/>
        <v>16369119.762875633</v>
      </c>
      <c r="X20" s="3">
        <f t="shared" si="4"/>
        <v>309041383.46962231</v>
      </c>
      <c r="Y20" s="3">
        <f t="shared" si="5"/>
        <v>1205382.2739779276</v>
      </c>
      <c r="Z20" s="3">
        <f t="shared" si="6"/>
        <v>4551112.0655176099</v>
      </c>
      <c r="AB20" s="3">
        <f t="shared" si="7"/>
        <v>94567513.548380613</v>
      </c>
      <c r="AC20" s="1">
        <f t="shared" si="8"/>
        <v>0.23430482887537149</v>
      </c>
      <c r="AD20" s="1">
        <f t="shared" si="9"/>
        <v>0.29064629456939806</v>
      </c>
      <c r="AE20" s="1">
        <f t="shared" si="10"/>
        <v>0.3287993580160084</v>
      </c>
    </row>
    <row r="21" spans="7:31" x14ac:dyDescent="0.25">
      <c r="J21" s="2"/>
      <c r="K21" s="3">
        <v>0.36000000000000004</v>
      </c>
      <c r="L21" s="5">
        <v>0.98518310920235896</v>
      </c>
      <c r="M21" s="5">
        <v>3.0687491826637296E-3</v>
      </c>
      <c r="N21" s="5">
        <v>1.1754816016259571E-2</v>
      </c>
      <c r="O21" s="5">
        <v>0.88283524212800246</v>
      </c>
      <c r="P21" s="5">
        <v>3.4002332407750309E-2</v>
      </c>
      <c r="Q21" s="5">
        <v>8.3153195978850847E-2</v>
      </c>
      <c r="R21" s="5">
        <v>196784.83870761775</v>
      </c>
      <c r="T21" s="5">
        <f t="shared" si="2"/>
        <v>151588319.25467813</v>
      </c>
      <c r="U21" s="5">
        <f t="shared" si="11"/>
        <v>5838412.6215958325</v>
      </c>
      <c r="V21" s="5">
        <f t="shared" si="3"/>
        <v>14277922.558580019</v>
      </c>
      <c r="X21" s="3">
        <f t="shared" si="4"/>
        <v>300732598.39938474</v>
      </c>
      <c r="Y21" s="3">
        <f t="shared" si="5"/>
        <v>936752.67766785389</v>
      </c>
      <c r="Z21" s="3">
        <f t="shared" si="6"/>
        <v>3588222.6677013966</v>
      </c>
      <c r="AB21" s="3">
        <f t="shared" si="7"/>
        <v>102876298.61861819</v>
      </c>
      <c r="AC21" s="1">
        <f t="shared" si="8"/>
        <v>0.25489105760230407</v>
      </c>
      <c r="AD21" s="1">
        <f t="shared" si="9"/>
        <v>0.24772254638649333</v>
      </c>
      <c r="AE21" s="1">
        <f t="shared" si="10"/>
        <v>0.28679439328866385</v>
      </c>
    </row>
    <row r="22" spans="7:31" x14ac:dyDescent="0.25">
      <c r="K22" s="3">
        <v>0.38000000000000006</v>
      </c>
      <c r="L22" s="5">
        <v>0.9881162796915095</v>
      </c>
      <c r="M22" s="5">
        <v>2.4365081367765315E-3</v>
      </c>
      <c r="N22" s="5">
        <v>9.4516424690792075E-3</v>
      </c>
      <c r="O22" s="5">
        <v>0.90530459979947719</v>
      </c>
      <c r="P22" s="5">
        <v>2.7094935668241622E-2</v>
      </c>
      <c r="Q22" s="5">
        <v>6.7591428508340171E-2</v>
      </c>
      <c r="R22" s="5">
        <v>213857.84500370096</v>
      </c>
      <c r="T22" s="5">
        <f t="shared" si="2"/>
        <v>164082361.94410822</v>
      </c>
      <c r="U22" s="5">
        <f t="shared" si="11"/>
        <v>4910834.4773167884</v>
      </c>
      <c r="V22" s="5">
        <f t="shared" si="3"/>
        <v>12250640.546045298</v>
      </c>
      <c r="X22" s="3">
        <f t="shared" si="4"/>
        <v>292202091.02617681</v>
      </c>
      <c r="Y22" s="3">
        <f t="shared" si="5"/>
        <v>720515.17316430458</v>
      </c>
      <c r="Z22" s="3">
        <f t="shared" si="6"/>
        <v>2795004.7477802848</v>
      </c>
      <c r="AB22" s="3">
        <f t="shared" si="7"/>
        <v>111406805.99182612</v>
      </c>
      <c r="AC22" s="1">
        <f t="shared" si="8"/>
        <v>0.27602663572318831</v>
      </c>
      <c r="AD22" s="1">
        <f t="shared" si="9"/>
        <v>0.20836561244466861</v>
      </c>
      <c r="AE22" s="1">
        <f t="shared" si="10"/>
        <v>0.24607326509760719</v>
      </c>
    </row>
    <row r="23" spans="7:31" x14ac:dyDescent="0.25">
      <c r="K23" s="3">
        <v>0.40000000000000008</v>
      </c>
      <c r="L23" s="5">
        <v>0.99057361885637851</v>
      </c>
      <c r="M23" s="5">
        <v>1.9156153931526019E-3</v>
      </c>
      <c r="N23" s="5">
        <v>7.5136496011038419E-3</v>
      </c>
      <c r="O23" s="5">
        <v>0.92441060214752246</v>
      </c>
      <c r="P23" s="5">
        <v>2.1365228336272184E-2</v>
      </c>
      <c r="Q23" s="5">
        <v>5.421421768273714E-2</v>
      </c>
      <c r="R23" s="5">
        <v>231244.80767362739</v>
      </c>
      <c r="T23" s="5">
        <f t="shared" si="2"/>
        <v>176363408.85201272</v>
      </c>
      <c r="U23" s="5">
        <f>P23*K23*$C$3</f>
        <v>4076158.8968505296</v>
      </c>
      <c r="V23" s="5">
        <f t="shared" si="3"/>
        <v>10343243.810229177</v>
      </c>
      <c r="X23" s="3">
        <f t="shared" si="4"/>
        <v>283479451.23281729</v>
      </c>
      <c r="Y23" s="3">
        <f t="shared" si="5"/>
        <v>548205.19150406646</v>
      </c>
      <c r="Z23" s="3">
        <f t="shared" si="6"/>
        <v>2150234.1927252691</v>
      </c>
      <c r="AB23" s="3">
        <f t="shared" si="7"/>
        <v>120129445.78518564</v>
      </c>
      <c r="AC23" s="1">
        <f t="shared" si="8"/>
        <v>0.29763824998096433</v>
      </c>
      <c r="AD23" s="1">
        <f t="shared" si="9"/>
        <v>0.17295051358116803</v>
      </c>
      <c r="AE23" s="1">
        <f t="shared" si="10"/>
        <v>0.20776022008949879</v>
      </c>
    </row>
    <row r="24" spans="7:31" x14ac:dyDescent="0.25">
      <c r="R24" s="3">
        <f>R18/10000</f>
        <v>14.811232687608296</v>
      </c>
      <c r="T24" s="5">
        <f t="shared" si="2"/>
        <v>0</v>
      </c>
      <c r="U24" s="5">
        <f>P24*K24*$C$3</f>
        <v>0</v>
      </c>
      <c r="V24" s="5">
        <f t="shared" si="3"/>
        <v>0</v>
      </c>
      <c r="X24" s="3">
        <f t="shared" si="4"/>
        <v>0</v>
      </c>
      <c r="Y24" s="3">
        <f t="shared" si="5"/>
        <v>0</v>
      </c>
      <c r="Z24" s="3">
        <f t="shared" si="6"/>
        <v>0</v>
      </c>
      <c r="AB24" s="3">
        <f t="shared" si="7"/>
        <v>403608897.01800293</v>
      </c>
      <c r="AC24" s="1">
        <f t="shared" si="8"/>
        <v>1</v>
      </c>
      <c r="AD24" s="1">
        <f t="shared" si="9"/>
        <v>0</v>
      </c>
      <c r="AE24" s="1">
        <f t="shared" si="10"/>
        <v>0</v>
      </c>
    </row>
    <row r="25" spans="7:31" x14ac:dyDescent="0.25">
      <c r="M25" s="3" t="s">
        <v>20</v>
      </c>
      <c r="N25" s="3" t="s">
        <v>24</v>
      </c>
      <c r="O25" s="3" t="s">
        <v>36</v>
      </c>
    </row>
    <row r="26" spans="7:31" x14ac:dyDescent="0.25">
      <c r="L26" s="3" t="s">
        <v>35</v>
      </c>
      <c r="M26" s="3">
        <f>(0.05-M18)/0.05</f>
        <v>0.88388363061310116</v>
      </c>
      <c r="N26" s="3">
        <f>(0.1-N18)/0.1</f>
        <v>0.78835003276917015</v>
      </c>
      <c r="O26" s="3">
        <f>(L18+L9)/2-0.85</f>
        <v>8.8936669660027445E-2</v>
      </c>
    </row>
    <row r="27" spans="7:31" x14ac:dyDescent="0.25">
      <c r="M27" s="3">
        <f>P13*K13*C3/(C3*C5)</f>
        <v>0.59616661040694952</v>
      </c>
      <c r="N27" s="3">
        <f>Q13*K13*C3/(C3*C6)</f>
        <v>0.50811362374193125</v>
      </c>
      <c r="O27" s="3">
        <f>O13*K13*C3/(C3*C4)</f>
        <v>0.13885980679313417</v>
      </c>
    </row>
  </sheetData>
  <mergeCells count="1">
    <mergeCell ref="X2:Z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kutta">
                <anchor moveWithCells="1" sizeWithCells="1">
                  <from>
                    <xdr:col>6</xdr:col>
                    <xdr:colOff>219075</xdr:colOff>
                    <xdr:row>10</xdr:row>
                    <xdr:rowOff>9525</xdr:rowOff>
                  </from>
                  <to>
                    <xdr:col>8</xdr:col>
                    <xdr:colOff>200025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Lins</dc:creator>
  <cp:lastModifiedBy>TFL</cp:lastModifiedBy>
  <dcterms:created xsi:type="dcterms:W3CDTF">2014-04-02T01:37:23Z</dcterms:created>
  <dcterms:modified xsi:type="dcterms:W3CDTF">2022-05-25T12:57:51Z</dcterms:modified>
</cp:coreProperties>
</file>